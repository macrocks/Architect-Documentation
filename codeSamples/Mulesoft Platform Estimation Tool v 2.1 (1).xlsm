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https://studentloanscompany-my.sharepoint.com/personal/pillais_slc_co_uk/Documents/SLC/Documents/Estimation Template/Health-check/"/>
    </mc:Choice>
  </mc:AlternateContent>
  <xr:revisionPtr revIDLastSave="579" documentId="8_{0521185B-F411-4638-8BB5-068B837EE39B}" xr6:coauthVersionLast="47" xr6:coauthVersionMax="47" xr10:uidLastSave="{8CE4E961-A439-4E5D-8C50-D46FEB6EEC38}"/>
  <bookViews>
    <workbookView xWindow="-120" yWindow="-120" windowWidth="20460" windowHeight="9420" xr2:uid="{00000000-000D-0000-FFFF-FFFF00000000}"/>
  </bookViews>
  <sheets>
    <sheet name="Overview" sheetId="8" r:id="rId1"/>
    <sheet name="Questionnaire" sheetId="4" r:id="rId2"/>
    <sheet name="LOV" sheetId="9" r:id="rId3"/>
    <sheet name="Variables" sheetId="2" r:id="rId4"/>
    <sheet name="Integration Estimate" sheetId="5" r:id="rId5"/>
    <sheet name="Assumptions and Architecture" sheetId="11" r:id="rId6"/>
    <sheet name="Tech Uplift" sheetId="12" r:id="rId7"/>
    <sheet name="Contention Management" sheetId="13"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7" i="5" l="1"/>
  <c r="E42" i="5"/>
  <c r="E37" i="5"/>
  <c r="E52" i="5"/>
  <c r="E30" i="5" l="1"/>
  <c r="J62" i="5" l="1"/>
  <c r="K62" i="5"/>
  <c r="I62" i="5"/>
  <c r="H62" i="5"/>
  <c r="E31" i="5"/>
  <c r="D31" i="5"/>
  <c r="D30" i="5"/>
  <c r="D29" i="5"/>
  <c r="E28" i="5"/>
  <c r="D28" i="5"/>
  <c r="H11" i="12" l="1"/>
  <c r="D69" i="5" s="1"/>
  <c r="J52" i="5"/>
  <c r="K52" i="5"/>
  <c r="K47" i="5"/>
  <c r="J47" i="5"/>
  <c r="I47" i="5"/>
  <c r="H47" i="5"/>
  <c r="K42" i="5"/>
  <c r="J42" i="5"/>
  <c r="I42" i="5"/>
  <c r="H42" i="5"/>
  <c r="K37" i="5"/>
  <c r="J37" i="5"/>
  <c r="I37" i="5"/>
  <c r="H37" i="5"/>
  <c r="H55" i="5" s="1"/>
  <c r="H70" i="5" s="1"/>
  <c r="I55" i="5" l="1"/>
  <c r="I70" i="5" s="1"/>
  <c r="K55" i="5"/>
  <c r="K70" i="5" s="1"/>
  <c r="J55" i="5"/>
  <c r="J70" i="5" s="1"/>
  <c r="D27" i="5" l="1"/>
  <c r="E27" i="5"/>
  <c r="E29" i="5" l="1"/>
  <c r="E32" i="5" l="1"/>
  <c r="F61" i="5" l="1"/>
  <c r="E21" i="5" l="1"/>
  <c r="D21" i="5"/>
  <c r="E20" i="5"/>
  <c r="D20" i="5"/>
  <c r="E16" i="5"/>
  <c r="D16" i="5"/>
  <c r="D32" i="5" l="1"/>
  <c r="F32" i="5" l="1"/>
  <c r="F54" i="5" l="1"/>
  <c r="D54" i="5" l="1"/>
  <c r="E54" i="5"/>
  <c r="D9" i="5"/>
  <c r="E17" i="5"/>
  <c r="E18" i="5"/>
  <c r="E19" i="5"/>
  <c r="E15" i="5"/>
  <c r="D17" i="5"/>
  <c r="D18" i="5"/>
  <c r="D19" i="5"/>
  <c r="D15" i="5"/>
  <c r="C7" i="5"/>
  <c r="D23" i="5" l="1"/>
  <c r="E23" i="5"/>
  <c r="B20" i="2"/>
  <c r="B19" i="2"/>
  <c r="B18" i="2"/>
  <c r="B16" i="2"/>
  <c r="B15" i="2"/>
  <c r="B14" i="2"/>
  <c r="E58" i="5" l="1"/>
  <c r="D58" i="5" s="1"/>
  <c r="E59" i="5"/>
  <c r="D59" i="5" s="1"/>
  <c r="E57" i="5"/>
  <c r="F9" i="5"/>
  <c r="F11" i="5" s="1"/>
  <c r="F49" i="5"/>
  <c r="F44" i="5"/>
  <c r="F39" i="5"/>
  <c r="E61" i="5" l="1"/>
  <c r="D57" i="5"/>
  <c r="D61" i="5" s="1"/>
  <c r="D11" i="5"/>
  <c r="E9" i="5"/>
  <c r="E11" i="5" s="1"/>
  <c r="D66" i="5" l="1"/>
  <c r="D49" i="5"/>
  <c r="E49" i="5"/>
  <c r="D44" i="5"/>
  <c r="E44" i="5"/>
  <c r="F17" i="5"/>
  <c r="F20" i="5"/>
  <c r="F18" i="5"/>
  <c r="F16" i="5"/>
  <c r="F21" i="5"/>
  <c r="F19" i="5"/>
  <c r="F15" i="5"/>
  <c r="F23" i="5" l="1"/>
  <c r="D39" i="5"/>
  <c r="D63" i="5" s="1"/>
  <c r="E39" i="5"/>
  <c r="E63" i="5" s="1"/>
  <c r="F63" i="5" l="1"/>
  <c r="D67" i="5" l="1"/>
  <c r="D68" i="5" l="1"/>
  <c r="D71" i="5" l="1"/>
</calcChain>
</file>

<file path=xl/sharedStrings.xml><?xml version="1.0" encoding="utf-8"?>
<sst xmlns="http://schemas.openxmlformats.org/spreadsheetml/2006/main" count="332" uniqueCount="257">
  <si>
    <t>Experience API</t>
  </si>
  <si>
    <t>Process API</t>
  </si>
  <si>
    <t>Yes</t>
  </si>
  <si>
    <t>System API</t>
  </si>
  <si>
    <t>Design</t>
  </si>
  <si>
    <t>Will a new database package be required ?</t>
  </si>
  <si>
    <t>Will there be updates to existing packages ?</t>
  </si>
  <si>
    <t>Will there be DDL requirements ?</t>
  </si>
  <si>
    <t>Pre Project Phase</t>
  </si>
  <si>
    <t>Is the Solution still subject to Discovery and Inception</t>
  </si>
  <si>
    <t>% time for Deliver Manager</t>
  </si>
  <si>
    <t>Mulesoft Developer</t>
  </si>
  <si>
    <t>Delivery Manager</t>
  </si>
  <si>
    <t>Configuration</t>
  </si>
  <si>
    <t>Configuration Stage</t>
  </si>
  <si>
    <t>Static IP Address Allocation</t>
  </si>
  <si>
    <t>Totals for Pre Project Phase</t>
  </si>
  <si>
    <t>No</t>
  </si>
  <si>
    <t>Developer time on Config %</t>
  </si>
  <si>
    <t>Architect Time on Config %</t>
  </si>
  <si>
    <t>Creation of NLB</t>
  </si>
  <si>
    <t>Firewall ports opened</t>
  </si>
  <si>
    <t>Firewall configuration</t>
  </si>
  <si>
    <t>Totals for Configuration Stage</t>
  </si>
  <si>
    <t>Architect Time on RAML</t>
  </si>
  <si>
    <t>Additional Supporting Development</t>
  </si>
  <si>
    <t>Variables</t>
  </si>
  <si>
    <t>Platform Architect</t>
  </si>
  <si>
    <t>Build Phase</t>
  </si>
  <si>
    <t>System API Variables</t>
  </si>
  <si>
    <t>Experience API Variables</t>
  </si>
  <si>
    <t>Totals for System API Build</t>
  </si>
  <si>
    <t>Total for Experience API Build</t>
  </si>
  <si>
    <t>Misc Variables</t>
  </si>
  <si>
    <t>Process API Variables</t>
  </si>
  <si>
    <t>Total for Process API Build</t>
  </si>
  <si>
    <t>Security Approval for Integration</t>
  </si>
  <si>
    <t>Whitelisting of IP Address</t>
  </si>
  <si>
    <t>Domain Name Server Entry Creation</t>
  </si>
  <si>
    <t>HTTPS Certificates</t>
  </si>
  <si>
    <t>Pre Project</t>
  </si>
  <si>
    <t>If yes to above then Is the D&amp;I Small / Medium / Large</t>
  </si>
  <si>
    <t>Large</t>
  </si>
  <si>
    <t>Developer % of time at D&amp;I</t>
  </si>
  <si>
    <t>DM % of time at D&amp;I</t>
  </si>
  <si>
    <t>Discovery and Inception - Small (days)</t>
  </si>
  <si>
    <t>Discovery and Inception - Medium (days)</t>
  </si>
  <si>
    <t>Discovery and Inception - Large (days)</t>
  </si>
  <si>
    <t>Enterprise Integration Estimation Tool</t>
  </si>
  <si>
    <t xml:space="preserve">How to use - </t>
  </si>
  <si>
    <t>When you are ready click answer questionaire button below - you will then be asked a series of questions about the Integration. When you are complete the questionaire click View estimate - this will show estimates for each stage.</t>
  </si>
  <si>
    <t>The purpose of this tool is to ask questions based on the knowledge of the Integration work that is due to be undertaken. These answers will be used in conjunction with known variables from previous estimates and work to present an overall estimate for Architect / Developer and Delivery Manager time</t>
  </si>
  <si>
    <t>Discovery And Inception with Project Management Office</t>
  </si>
  <si>
    <t>Estimate Totals</t>
  </si>
  <si>
    <t>New Database Package</t>
  </si>
  <si>
    <t>Database Package Update</t>
  </si>
  <si>
    <t>DDL changes (Grants etc)</t>
  </si>
  <si>
    <t>Database Package creation</t>
  </si>
  <si>
    <t>Database package update</t>
  </si>
  <si>
    <t>DDL Changes</t>
  </si>
  <si>
    <t>Architect involvement in complex API build %</t>
  </si>
  <si>
    <t>Architect involvement in database development</t>
  </si>
  <si>
    <t>Total for Additional Supporting Development</t>
  </si>
  <si>
    <t>Totals for Design Phase</t>
  </si>
  <si>
    <t>Is Security approval required for connection to SLC Systems ?</t>
  </si>
  <si>
    <t>Will whitelisting be required (for external access) ?</t>
  </si>
  <si>
    <t>Will a new DNS Entry be required ?</t>
  </si>
  <si>
    <t>Is creation of NLB required ?</t>
  </si>
  <si>
    <t>vCore allocation secured ?</t>
  </si>
  <si>
    <t>Are Static IP Address needed ?</t>
  </si>
  <si>
    <t>Are Certificates Required ?</t>
  </si>
  <si>
    <t>Integration Estimate</t>
  </si>
  <si>
    <t>The following output is the Estimate based on the questions answered in the Integration Questionnaire. If results are not as expected, revisit the Quewstionnaire or alter the tool variables.</t>
  </si>
  <si>
    <t>Small</t>
  </si>
  <si>
    <t>Medium</t>
  </si>
  <si>
    <t>Column1</t>
  </si>
  <si>
    <t xml:space="preserve">Create </t>
  </si>
  <si>
    <t>Design Phase</t>
  </si>
  <si>
    <t>Total for MQ build</t>
  </si>
  <si>
    <t>Integration Estimate Questionnaire</t>
  </si>
  <si>
    <t>Integration Estimation Variables</t>
  </si>
  <si>
    <t>APPRA Estimate</t>
  </si>
  <si>
    <t>Discovery</t>
  </si>
  <si>
    <t>Inception</t>
  </si>
  <si>
    <t>Build</t>
  </si>
  <si>
    <t>APRA View</t>
  </si>
  <si>
    <t>Totals for APRA</t>
  </si>
  <si>
    <t>Total for build phase</t>
  </si>
  <si>
    <t>Testing Phase</t>
  </si>
  <si>
    <t>Test Support %</t>
  </si>
  <si>
    <t>Small System API build</t>
  </si>
  <si>
    <t>Medium System API build</t>
  </si>
  <si>
    <t>Large System API build</t>
  </si>
  <si>
    <t>Reused System API</t>
  </si>
  <si>
    <t>System AP Build</t>
  </si>
  <si>
    <t>Medium Experience API build</t>
  </si>
  <si>
    <t>Large Experience API build</t>
  </si>
  <si>
    <t>Small Process API build</t>
  </si>
  <si>
    <t>Medium Process API build</t>
  </si>
  <si>
    <t>Large Process API build</t>
  </si>
  <si>
    <t>Event API</t>
  </si>
  <si>
    <t>Small Event API build</t>
  </si>
  <si>
    <t>Medium Event API build</t>
  </si>
  <si>
    <t>Large Event API build</t>
  </si>
  <si>
    <t>Experience API build</t>
  </si>
  <si>
    <t>Process API Build</t>
  </si>
  <si>
    <t>Event API Build</t>
  </si>
  <si>
    <t>Create API Specification file</t>
  </si>
  <si>
    <t>Create RESTful API Modeling Language (RAML) file</t>
  </si>
  <si>
    <t>Create API Spectification file</t>
  </si>
  <si>
    <t>Developer time on RAML</t>
  </si>
  <si>
    <t xml:space="preserve">Developer time on API </t>
  </si>
  <si>
    <t xml:space="preserve">Architect Time on API </t>
  </si>
  <si>
    <t>Reused Experience API</t>
  </si>
  <si>
    <t>Reused Process API</t>
  </si>
  <si>
    <t>Dev Support Effort (20% build)</t>
  </si>
  <si>
    <t>Design (total of Design &amp; Inception + Mulesoft Design Phase (RAML &amp; API Specs))</t>
  </si>
  <si>
    <t>Create Async API specification &amp; publish</t>
  </si>
  <si>
    <t>Version</t>
  </si>
  <si>
    <t>Change details</t>
  </si>
  <si>
    <t>Updated By</t>
  </si>
  <si>
    <t>sr. no</t>
  </si>
  <si>
    <t>v1.5</t>
  </si>
  <si>
    <t>Added Async API efforts</t>
  </si>
  <si>
    <t>Amit Ghorpade</t>
  </si>
  <si>
    <t>v1.4</t>
  </si>
  <si>
    <t>Base Effort Estimation tool</t>
  </si>
  <si>
    <t>Deploy,Review,Governance and handover</t>
  </si>
  <si>
    <t>How many API Design Specification needs to updated?</t>
  </si>
  <si>
    <t>Create/Update API Specification design</t>
  </si>
  <si>
    <t>Create/Update API Design Specification confluence</t>
  </si>
  <si>
    <t>How many Async Api specifications are required?</t>
  </si>
  <si>
    <t>Create/Update RAML on Design Centre</t>
  </si>
  <si>
    <t>v1.6</t>
  </si>
  <si>
    <t xml:space="preserve">How many REST endpoints needs to be updated on RAML? </t>
  </si>
  <si>
    <t>Do we need new RAML Specification?</t>
  </si>
  <si>
    <t>Do we need New API Design specification document?(confluence)</t>
  </si>
  <si>
    <t>v1.7</t>
  </si>
  <si>
    <t>Added update for system,process and exp api, also added TDD effort for Architect</t>
  </si>
  <si>
    <t>Added API spec design update efforts</t>
  </si>
  <si>
    <t>vCore and Worker Usage</t>
  </si>
  <si>
    <t>Environment</t>
  </si>
  <si>
    <t>number of vCores</t>
  </si>
  <si>
    <t>number of Workers</t>
  </si>
  <si>
    <t>Dev</t>
  </si>
  <si>
    <t>Next Test</t>
  </si>
  <si>
    <t>Support Test</t>
  </si>
  <si>
    <t>OAT</t>
  </si>
  <si>
    <t>Live</t>
  </si>
  <si>
    <t>No.Of env</t>
  </si>
  <si>
    <t>v1.8</t>
  </si>
  <si>
    <t>MQ Usage</t>
  </si>
  <si>
    <t>Assumption- Every Active MQ is supported by DLQ</t>
  </si>
  <si>
    <t>DELIVERY</t>
  </si>
  <si>
    <t>PLATFORM</t>
  </si>
  <si>
    <t>Added vcore calculation questionnaire and logic to calculate 
vCore Sizing for pord &amp; non-prod,NLB count</t>
  </si>
  <si>
    <t>Mandatory env for deployement is Dev,NT,OAT, Support Test and Prod</t>
  </si>
  <si>
    <t>Training (optional)</t>
  </si>
  <si>
    <t>How many Async Api specifications needs to be updated?</t>
  </si>
  <si>
    <t>How many of the new Experience API endpoints are Small complexity</t>
  </si>
  <si>
    <t>How many of the new Experience API endpoints are Medium complexity</t>
  </si>
  <si>
    <t>How many of the new Experience API endpoints are Large complexity</t>
  </si>
  <si>
    <t>How many existing Experience API endpoints to be updated of medium complexity?</t>
  </si>
  <si>
    <t>How many existing Experience API endpoints to be updated of large complexity?</t>
  </si>
  <si>
    <t>How many of the new System API endpoints are Small complexity</t>
  </si>
  <si>
    <t>How many of the new System API endpoints are Medium complexity</t>
  </si>
  <si>
    <t>How many of the new System API endpoints are Large complexity</t>
  </si>
  <si>
    <t>How many existing system API endpoints to be updated of small complexity?</t>
  </si>
  <si>
    <t>How many existing system API endpoints to be updated of medium complexity?</t>
  </si>
  <si>
    <t>How many existing system API endpoints to be updated of large complexity?</t>
  </si>
  <si>
    <t>How many new experience APIs are required?</t>
  </si>
  <si>
    <t>How many new process APIs are required?</t>
  </si>
  <si>
    <t>How many new event APIs are required?</t>
  </si>
  <si>
    <t>How many NLB creations are needed?</t>
  </si>
  <si>
    <t xml:space="preserve">How many API Design Specification files are required ? </t>
  </si>
  <si>
    <t>How many existing Experience API endpoints to be updated of small complexity?</t>
  </si>
  <si>
    <t>How many of the new Process API endpoints are Small complexity</t>
  </si>
  <si>
    <t>How many of the new Process API endpoints are Medium complexity</t>
  </si>
  <si>
    <t>How many of the new Process API endpoints are Large complexity</t>
  </si>
  <si>
    <t>How many existing Process API endpoints to be updated of small complexity?</t>
  </si>
  <si>
    <t>How many existing Process API endpoints to be updated of medium complexity?</t>
  </si>
  <si>
    <t>How many existing Process API endpoints to be updated of large complexity?</t>
  </si>
  <si>
    <t>How many of the new Event API endpoints are Small complexity</t>
  </si>
  <si>
    <t>How many of the new Event API endpoints are Medium complexity</t>
  </si>
  <si>
    <t>How many of the new Event API endpoints are Large complexity</t>
  </si>
  <si>
    <t>How many existing Event API endpoints to be updated of small complexity?</t>
  </si>
  <si>
    <t>How many existing Event API endpoints to be updated of medium complexity?</t>
  </si>
  <si>
    <t>How many existing Event API endpoints to be updated of large complexity?</t>
  </si>
  <si>
    <t>How many new system APIs are required?</t>
  </si>
  <si>
    <t xml:space="preserve">How many REST endpoints need to be created in the RAML? </t>
  </si>
  <si>
    <t>Create RESTful API Modeling Language file design</t>
  </si>
  <si>
    <t>Update RESTful API Modeling Language file</t>
  </si>
  <si>
    <t>Small Experience  API build</t>
  </si>
  <si>
    <t>Non-Prod</t>
  </si>
  <si>
    <t xml:space="preserve"> Prod</t>
  </si>
  <si>
    <t>Prod</t>
  </si>
  <si>
    <t>Sl.no</t>
  </si>
  <si>
    <t>Functionality</t>
  </si>
  <si>
    <t>Source</t>
  </si>
  <si>
    <t>Target</t>
  </si>
  <si>
    <t>Notes</t>
  </si>
  <si>
    <t>Additional Vcores based on NFRS</t>
  </si>
  <si>
    <t>Diagrams</t>
  </si>
  <si>
    <t>Assumptions</t>
  </si>
  <si>
    <t>1. Training environment is added in scope for this estimate.</t>
  </si>
  <si>
    <t>High Level Solution</t>
  </si>
  <si>
    <t>Scope</t>
  </si>
  <si>
    <t>API Name</t>
  </si>
  <si>
    <t>Endpoint</t>
  </si>
  <si>
    <t>GET /cases</t>
  </si>
  <si>
    <t>e-rpa</t>
  </si>
  <si>
    <t>Type of Change</t>
  </si>
  <si>
    <t>API Type</t>
  </si>
  <si>
    <t>Type of API</t>
  </si>
  <si>
    <t>Experience</t>
  </si>
  <si>
    <t>System</t>
  </si>
  <si>
    <t>Process</t>
  </si>
  <si>
    <t>Event</t>
  </si>
  <si>
    <t>Create Cases</t>
  </si>
  <si>
    <t>RPA</t>
  </si>
  <si>
    <t>SALESFORCE</t>
  </si>
  <si>
    <t>POST /cases</t>
  </si>
  <si>
    <t>New API and New Endpoint</t>
  </si>
  <si>
    <t>Existing API and New Endpoint</t>
  </si>
  <si>
    <t>Existing API and Existing Endpoint</t>
  </si>
  <si>
    <t>s-salesforce</t>
  </si>
  <si>
    <t>Projects which are impacted</t>
  </si>
  <si>
    <t>security vulnerability</t>
  </si>
  <si>
    <t>Remediation</t>
  </si>
  <si>
    <t>Effort(PD)</t>
  </si>
  <si>
    <t>Type of tech uplift</t>
  </si>
  <si>
    <t>Strategy</t>
  </si>
  <si>
    <t>Total Effort</t>
  </si>
  <si>
    <t>Tech Uplift</t>
  </si>
  <si>
    <t>3.Specify if there is any dependency on Security Team</t>
  </si>
  <si>
    <t>Out of Scope
•	out of scope integrations
•	System APIs that are not developed by EI CoE</t>
  </si>
  <si>
    <t>2.Specify if there is any dependency on Cloud Engineering Team</t>
  </si>
  <si>
    <t>4. NLB creation certificate configuration -only for new systems</t>
  </si>
  <si>
    <t>APIs Impacted</t>
  </si>
  <si>
    <t>In Scope
•	Integrations in scope
•	System APIs in scope-EI COE</t>
  </si>
  <si>
    <t>v2.0</t>
  </si>
  <si>
    <t>Saumya Pillai</t>
  </si>
  <si>
    <t>LOB System APIS</t>
  </si>
  <si>
    <t>How many new LOB System APIs are required?</t>
  </si>
  <si>
    <t>How many new LOB System API endpoints are created?</t>
  </si>
  <si>
    <t>How many new LOB System API endpoints are updated?</t>
  </si>
  <si>
    <t>LOB System APIs</t>
  </si>
  <si>
    <t>AUM</t>
  </si>
  <si>
    <t>vCores</t>
  </si>
  <si>
    <t>Refined the questionniare . Added vCores and AUM calculationquestionniare and logic to estimation vCore and AUM.Added new tabs to capture Tech Uplift , Contention Management.Updated the Assumptions and Architecture tab to capture scope and API details. Reduced the development effort for experience API</t>
  </si>
  <si>
    <t>How many non-prod environments will be involved in deployment of new APIs?</t>
  </si>
  <si>
    <t>How many process APIs need health check endpoints(alive and ready) to be developed?</t>
  </si>
  <si>
    <t>How many experience APIs need health check endpoints(alive and ready) to be developed?</t>
  </si>
  <si>
    <t>How many system APIs need health check endpoints(alive and ready) to be developed?</t>
  </si>
  <si>
    <t>Health Check endpoint development</t>
  </si>
  <si>
    <t>v2.1</t>
  </si>
  <si>
    <t>Updated the efforts for implementing health check endpoints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</si>
</sst>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0" x14ac:knownFonts="1">
    <font>
      <sz val="11"/>
      <color theme="1"/>
      <name val="Calibri"/>
      <family val="2"/>
      <scheme val="minor"/>
    </font>
    <font>
      <b/>
      <sz val="11"/>
      <color theme="1"/>
      <name val="Calibri"/>
      <family val="2"/>
      <scheme val="minor"/>
    </font>
    <font>
      <b/>
      <sz val="16"/>
      <color theme="1"/>
      <name val="Calibri"/>
      <family val="2"/>
      <scheme val="minor"/>
    </font>
    <font>
      <sz val="11"/>
      <color theme="0"/>
      <name val="Calibri"/>
      <family val="2"/>
      <scheme val="minor"/>
    </font>
    <font>
      <b/>
      <sz val="26"/>
      <color theme="0"/>
      <name val="Calibri"/>
      <family val="2"/>
      <scheme val="minor"/>
    </font>
    <font>
      <b/>
      <sz val="26"/>
      <color rgb="FFFF0000"/>
      <name val="Calibri"/>
      <family val="2"/>
      <scheme val="minor"/>
    </font>
    <font>
      <sz val="11"/>
      <color theme="1"/>
      <name val="Calibri"/>
      <family val="2"/>
      <scheme val="minor"/>
    </font>
    <font>
      <sz val="26"/>
      <color theme="1"/>
      <name val="Calibri"/>
      <family val="2"/>
      <scheme val="minor"/>
    </font>
    <font>
      <sz val="24"/>
      <color theme="1"/>
      <name val="Calibri"/>
      <family val="2"/>
      <scheme val="minor"/>
    </font>
    <font>
      <sz val="11"/>
      <color rgb="FF000000"/>
      <name val="Calibri"/>
      <family val="2"/>
    </font>
  </fonts>
  <fills count="13">
    <fill>
      <patternFill patternType="none"/>
    </fill>
    <fill>
      <patternFill patternType="gray125"/>
    </fill>
    <fill>
      <patternFill patternType="solid">
        <fgColor theme="0" tint="-0.14999847407452621"/>
        <bgColor indexed="64"/>
      </patternFill>
    </fill>
    <fill>
      <patternFill patternType="solid">
        <fgColor theme="5"/>
      </patternFill>
    </fill>
    <fill>
      <patternFill patternType="solid">
        <fgColor theme="5" tint="0.39997558519241921"/>
        <bgColor indexed="65"/>
      </patternFill>
    </fill>
    <fill>
      <patternFill patternType="solid">
        <fgColor theme="6" tint="0.59999389629810485"/>
        <bgColor indexed="65"/>
      </patternFill>
    </fill>
    <fill>
      <patternFill patternType="solid">
        <fgColor theme="8"/>
      </patternFill>
    </fill>
    <fill>
      <patternFill patternType="solid">
        <fgColor theme="8" tint="0.39997558519241921"/>
        <bgColor indexed="65"/>
      </patternFill>
    </fill>
    <fill>
      <patternFill patternType="solid">
        <fgColor theme="6"/>
      </patternFill>
    </fill>
    <fill>
      <patternFill patternType="solid">
        <fgColor theme="7" tint="0.59999389629810485"/>
        <bgColor indexed="65"/>
      </patternFill>
    </fill>
    <fill>
      <patternFill patternType="solid">
        <fgColor theme="2" tint="-0.249977111117893"/>
        <bgColor indexed="64"/>
      </patternFill>
    </fill>
    <fill>
      <patternFill patternType="solid">
        <fgColor theme="0" tint="-0.249977111117893"/>
        <bgColor indexed="64"/>
      </patternFill>
    </fill>
    <fill>
      <patternFill patternType="solid">
        <fgColor theme="6"/>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bottom style="thin">
        <color indexed="64"/>
      </bottom>
      <diagonal/>
    </border>
  </borders>
  <cellStyleXfs count="8">
    <xf numFmtId="0" fontId="0" fillId="0" borderId="0"/>
    <xf numFmtId="0" fontId="3"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3" fillId="6" borderId="0" applyNumberFormat="0" applyBorder="0" applyAlignment="0" applyProtection="0"/>
    <xf numFmtId="0" fontId="6" fillId="7" borderId="0" applyNumberFormat="0" applyBorder="0" applyAlignment="0" applyProtection="0"/>
    <xf numFmtId="0" fontId="3" fillId="8" borderId="0" applyNumberFormat="0" applyBorder="0" applyAlignment="0" applyProtection="0"/>
    <xf numFmtId="0" fontId="6" fillId="9" borderId="0" applyNumberFormat="0" applyBorder="0" applyAlignment="0" applyProtection="0"/>
  </cellStyleXfs>
  <cellXfs count="151">
    <xf numFmtId="0" fontId="0" fillId="0" borderId="0" xfId="0"/>
    <xf numFmtId="0" fontId="1" fillId="0" borderId="0" xfId="0" applyFont="1"/>
    <xf numFmtId="0" fontId="0" fillId="0" borderId="0" xfId="0" applyAlignment="1">
      <alignment horizontal="center"/>
    </xf>
    <xf numFmtId="0" fontId="3" fillId="0" borderId="0" xfId="0" applyFont="1"/>
    <xf numFmtId="0" fontId="4" fillId="0" borderId="0" xfId="0" applyFont="1"/>
    <xf numFmtId="0" fontId="0" fillId="2" borderId="3" xfId="0" applyFill="1" applyBorder="1"/>
    <xf numFmtId="0" fontId="0" fillId="2" borderId="2" xfId="0" applyFill="1" applyBorder="1"/>
    <xf numFmtId="0" fontId="0" fillId="2" borderId="4" xfId="0" applyFill="1" applyBorder="1"/>
    <xf numFmtId="0" fontId="0" fillId="2" borderId="5" xfId="0" applyFill="1" applyBorder="1"/>
    <xf numFmtId="0" fontId="1" fillId="2" borderId="0" xfId="0" applyFont="1" applyFill="1"/>
    <xf numFmtId="0" fontId="0" fillId="2" borderId="6" xfId="0" applyFill="1" applyBorder="1"/>
    <xf numFmtId="0" fontId="0" fillId="2" borderId="0" xfId="0" applyFill="1"/>
    <xf numFmtId="0" fontId="0" fillId="2" borderId="0" xfId="0" applyFill="1" applyAlignment="1">
      <alignment wrapText="1"/>
    </xf>
    <xf numFmtId="0" fontId="0" fillId="2" borderId="7" xfId="0" applyFill="1" applyBorder="1"/>
    <xf numFmtId="0" fontId="0" fillId="2" borderId="8" xfId="0" applyFill="1" applyBorder="1"/>
    <xf numFmtId="0" fontId="0" fillId="2" borderId="9" xfId="0" applyFill="1" applyBorder="1"/>
    <xf numFmtId="0" fontId="5" fillId="2" borderId="3" xfId="0" applyFont="1" applyFill="1" applyBorder="1"/>
    <xf numFmtId="0" fontId="1" fillId="2" borderId="5" xfId="0" applyFont="1" applyFill="1" applyBorder="1"/>
    <xf numFmtId="0" fontId="0" fillId="2" borderId="6" xfId="0" applyFill="1" applyBorder="1" applyAlignment="1">
      <alignment horizontal="center"/>
    </xf>
    <xf numFmtId="0" fontId="0" fillId="2" borderId="1" xfId="0" applyFill="1" applyBorder="1" applyAlignment="1">
      <alignment horizontal="center"/>
    </xf>
    <xf numFmtId="0" fontId="0" fillId="2" borderId="10" xfId="0" applyFill="1" applyBorder="1" applyAlignment="1">
      <alignment horizontal="center"/>
    </xf>
    <xf numFmtId="0" fontId="5" fillId="2" borderId="2" xfId="0" applyFont="1" applyFill="1" applyBorder="1"/>
    <xf numFmtId="0" fontId="5" fillId="2" borderId="5" xfId="0" applyFont="1" applyFill="1" applyBorder="1"/>
    <xf numFmtId="0" fontId="0" fillId="2" borderId="6" xfId="0" applyFill="1" applyBorder="1" applyAlignment="1">
      <alignment textRotation="44"/>
    </xf>
    <xf numFmtId="0" fontId="2" fillId="2" borderId="0" xfId="0" applyFont="1" applyFill="1"/>
    <xf numFmtId="164" fontId="0" fillId="2" borderId="0" xfId="0" applyNumberFormat="1" applyFill="1"/>
    <xf numFmtId="0" fontId="1" fillId="2" borderId="6" xfId="0" applyFont="1" applyFill="1" applyBorder="1"/>
    <xf numFmtId="0" fontId="1" fillId="2" borderId="1" xfId="0" applyFont="1" applyFill="1" applyBorder="1" applyAlignment="1">
      <alignment horizontal="center" textRotation="90"/>
    </xf>
    <xf numFmtId="0" fontId="1" fillId="2" borderId="11" xfId="0" applyFont="1" applyFill="1" applyBorder="1"/>
    <xf numFmtId="0" fontId="0" fillId="2" borderId="11" xfId="0" applyFill="1" applyBorder="1"/>
    <xf numFmtId="164" fontId="0" fillId="2" borderId="11" xfId="0" applyNumberFormat="1" applyFill="1" applyBorder="1"/>
    <xf numFmtId="164" fontId="0" fillId="2" borderId="1" xfId="0" applyNumberFormat="1" applyFill="1" applyBorder="1" applyAlignment="1">
      <alignment horizontal="center"/>
    </xf>
    <xf numFmtId="1" fontId="0" fillId="2" borderId="1" xfId="0" applyNumberFormat="1" applyFill="1" applyBorder="1" applyAlignment="1">
      <alignment horizontal="center"/>
    </xf>
    <xf numFmtId="0" fontId="0" fillId="2" borderId="0" xfId="0" applyFill="1" applyAlignment="1">
      <alignment vertical="center"/>
    </xf>
    <xf numFmtId="164" fontId="0" fillId="2" borderId="6" xfId="0" applyNumberFormat="1" applyFill="1" applyBorder="1"/>
    <xf numFmtId="164" fontId="0" fillId="2" borderId="12" xfId="0" applyNumberFormat="1" applyFill="1" applyBorder="1" applyAlignment="1">
      <alignment horizontal="center"/>
    </xf>
    <xf numFmtId="0" fontId="6" fillId="5" borderId="0" xfId="3" applyBorder="1"/>
    <xf numFmtId="0" fontId="6" fillId="5" borderId="1" xfId="3" applyBorder="1"/>
    <xf numFmtId="0" fontId="6" fillId="7" borderId="1" xfId="5" applyBorder="1" applyAlignment="1">
      <alignment horizontal="left" vertical="center" wrapText="1"/>
    </xf>
    <xf numFmtId="0" fontId="0" fillId="0" borderId="2" xfId="0" applyBorder="1"/>
    <xf numFmtId="0" fontId="3" fillId="6" borderId="1" xfId="4" applyBorder="1" applyAlignment="1">
      <alignment horizontal="left" vertical="center" wrapText="1"/>
    </xf>
    <xf numFmtId="0" fontId="3" fillId="3" borderId="0" xfId="1"/>
    <xf numFmtId="0" fontId="6" fillId="7" borderId="0" xfId="5"/>
    <xf numFmtId="0" fontId="6" fillId="7" borderId="1" xfId="5" applyBorder="1"/>
    <xf numFmtId="0" fontId="0" fillId="0" borderId="1" xfId="0" applyBorder="1"/>
    <xf numFmtId="0" fontId="3" fillId="6" borderId="1" xfId="4" applyBorder="1"/>
    <xf numFmtId="0" fontId="6" fillId="5" borderId="6" xfId="3" applyBorder="1"/>
    <xf numFmtId="0" fontId="6" fillId="5" borderId="8" xfId="3" applyBorder="1"/>
    <xf numFmtId="0" fontId="6" fillId="5" borderId="9" xfId="3" applyBorder="1"/>
    <xf numFmtId="0" fontId="0" fillId="0" borderId="1" xfId="0" applyBorder="1" applyAlignment="1">
      <alignment wrapText="1"/>
    </xf>
    <xf numFmtId="0" fontId="3" fillId="8" borderId="1" xfId="6" applyBorder="1" applyAlignment="1">
      <alignment horizontal="left" vertical="center" wrapText="1"/>
    </xf>
    <xf numFmtId="0" fontId="0" fillId="0" borderId="0" xfId="0" applyAlignment="1">
      <alignment vertical="top"/>
    </xf>
    <xf numFmtId="0" fontId="6" fillId="9" borderId="1" xfId="7" applyBorder="1" applyAlignment="1">
      <alignment horizontal="left" vertical="center" wrapText="1"/>
    </xf>
    <xf numFmtId="0" fontId="3" fillId="8" borderId="14" xfId="6" applyBorder="1"/>
    <xf numFmtId="0" fontId="3" fillId="8" borderId="15" xfId="6" applyBorder="1"/>
    <xf numFmtId="0" fontId="3" fillId="8" borderId="16" xfId="6" applyBorder="1"/>
    <xf numFmtId="0" fontId="0" fillId="2" borderId="17" xfId="0" applyFill="1" applyBorder="1"/>
    <xf numFmtId="0" fontId="6" fillId="5" borderId="17" xfId="3" applyBorder="1"/>
    <xf numFmtId="0" fontId="0" fillId="2" borderId="18" xfId="0" applyFill="1" applyBorder="1"/>
    <xf numFmtId="0" fontId="0" fillId="2" borderId="12" xfId="0" applyFill="1" applyBorder="1"/>
    <xf numFmtId="0" fontId="6" fillId="5" borderId="4" xfId="3" applyBorder="1"/>
    <xf numFmtId="0" fontId="0" fillId="2" borderId="1" xfId="0" applyFill="1" applyBorder="1"/>
    <xf numFmtId="0" fontId="6" fillId="5" borderId="18" xfId="3" applyBorder="1"/>
    <xf numFmtId="0" fontId="6" fillId="5" borderId="12" xfId="3" applyBorder="1"/>
    <xf numFmtId="0" fontId="3" fillId="8" borderId="21" xfId="6" applyBorder="1" applyAlignment="1"/>
    <xf numFmtId="0" fontId="3" fillId="10" borderId="22" xfId="0" applyFont="1" applyFill="1" applyBorder="1"/>
    <xf numFmtId="0" fontId="3" fillId="8" borderId="10" xfId="6" applyBorder="1" applyAlignment="1"/>
    <xf numFmtId="0" fontId="3" fillId="8" borderId="14" xfId="6" applyBorder="1" applyAlignment="1">
      <alignment horizontal="left"/>
    </xf>
    <xf numFmtId="0" fontId="3" fillId="8" borderId="16" xfId="6" applyBorder="1" applyAlignment="1">
      <alignment horizontal="left"/>
    </xf>
    <xf numFmtId="0" fontId="3" fillId="8" borderId="23" xfId="6" applyBorder="1" applyAlignment="1">
      <alignment horizontal="left"/>
    </xf>
    <xf numFmtId="0" fontId="3" fillId="8" borderId="18" xfId="6" applyBorder="1"/>
    <xf numFmtId="0" fontId="6" fillId="10" borderId="24" xfId="3" applyFill="1" applyBorder="1"/>
    <xf numFmtId="0" fontId="3" fillId="8" borderId="26" xfId="6" applyBorder="1" applyAlignment="1">
      <alignment horizontal="left"/>
    </xf>
    <xf numFmtId="0" fontId="3" fillId="8" borderId="27" xfId="6" applyBorder="1" applyAlignment="1">
      <alignment horizontal="left"/>
    </xf>
    <xf numFmtId="0" fontId="3" fillId="8" borderId="4" xfId="6" applyBorder="1" applyAlignment="1">
      <alignment horizontal="left"/>
    </xf>
    <xf numFmtId="0" fontId="6" fillId="5" borderId="3" xfId="3" applyBorder="1"/>
    <xf numFmtId="0" fontId="6" fillId="5" borderId="2" xfId="3" applyBorder="1"/>
    <xf numFmtId="0" fontId="6" fillId="5" borderId="7" xfId="3" applyBorder="1"/>
    <xf numFmtId="0" fontId="1" fillId="11" borderId="1" xfId="0" applyFont="1" applyFill="1" applyBorder="1"/>
    <xf numFmtId="0" fontId="0" fillId="0" borderId="1" xfId="0" applyBorder="1" applyAlignment="1">
      <alignment horizontal="left" vertical="top"/>
    </xf>
    <xf numFmtId="0" fontId="0" fillId="0" borderId="0" xfId="0" applyAlignment="1">
      <alignment horizontal="left"/>
    </xf>
    <xf numFmtId="0" fontId="0" fillId="0" borderId="1" xfId="0" applyBorder="1" applyAlignment="1">
      <alignment horizontal="left"/>
    </xf>
    <xf numFmtId="0" fontId="0" fillId="12" borderId="1" xfId="0" applyFill="1" applyBorder="1"/>
    <xf numFmtId="0" fontId="1" fillId="11" borderId="17" xfId="0" applyFont="1" applyFill="1" applyBorder="1"/>
    <xf numFmtId="0" fontId="0" fillId="0" borderId="28" xfId="0" applyBorder="1"/>
    <xf numFmtId="0" fontId="0" fillId="0" borderId="10" xfId="0" applyBorder="1"/>
    <xf numFmtId="0" fontId="6" fillId="4" borderId="0" xfId="2" applyAlignment="1">
      <alignment horizontal="left" vertical="top"/>
    </xf>
    <xf numFmtId="0" fontId="6" fillId="5" borderId="2" xfId="3" applyBorder="1" applyAlignment="1"/>
    <xf numFmtId="0" fontId="0" fillId="0" borderId="4" xfId="0" applyBorder="1"/>
    <xf numFmtId="0" fontId="0" fillId="0" borderId="8" xfId="0" applyBorder="1"/>
    <xf numFmtId="0" fontId="0" fillId="0" borderId="9" xfId="0" applyBorder="1"/>
    <xf numFmtId="0" fontId="7" fillId="2"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4"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2" borderId="9" xfId="0" applyFill="1" applyBorder="1" applyAlignment="1">
      <alignment horizontal="center" vertical="center"/>
    </xf>
    <xf numFmtId="0" fontId="3" fillId="8" borderId="19" xfId="6" applyBorder="1" applyAlignment="1">
      <alignment wrapText="1"/>
    </xf>
    <xf numFmtId="0" fontId="0" fillId="0" borderId="13" xfId="0" applyBorder="1" applyAlignment="1">
      <alignment wrapText="1"/>
    </xf>
    <xf numFmtId="0" fontId="3" fillId="8" borderId="20" xfId="6" applyBorder="1" applyAlignment="1"/>
    <xf numFmtId="0" fontId="0" fillId="0" borderId="13" xfId="0" applyBorder="1"/>
    <xf numFmtId="0" fontId="3" fillId="8" borderId="19" xfId="6" applyBorder="1" applyAlignment="1"/>
    <xf numFmtId="0" fontId="8" fillId="5" borderId="3" xfId="3" applyFont="1" applyBorder="1" applyAlignment="1">
      <alignment horizontal="center" vertical="center"/>
    </xf>
    <xf numFmtId="0" fontId="6" fillId="5" borderId="2" xfId="3" applyBorder="1" applyAlignment="1">
      <alignment horizontal="center" vertical="center"/>
    </xf>
    <xf numFmtId="0" fontId="6" fillId="5" borderId="7" xfId="3" applyBorder="1" applyAlignment="1">
      <alignment horizontal="center" vertical="center"/>
    </xf>
    <xf numFmtId="0" fontId="6" fillId="5" borderId="8" xfId="3" applyBorder="1" applyAlignment="1">
      <alignment horizontal="center" vertical="center"/>
    </xf>
    <xf numFmtId="0" fontId="6" fillId="5" borderId="3" xfId="3" applyBorder="1" applyAlignment="1"/>
    <xf numFmtId="0" fontId="0" fillId="0" borderId="2" xfId="0" applyBorder="1"/>
    <xf numFmtId="0" fontId="0" fillId="0" borderId="5" xfId="0" applyBorder="1"/>
    <xf numFmtId="0" fontId="0" fillId="0" borderId="0" xfId="0"/>
    <xf numFmtId="0" fontId="0" fillId="0" borderId="6" xfId="0" applyBorder="1"/>
    <xf numFmtId="0" fontId="0" fillId="0" borderId="7" xfId="0" applyBorder="1"/>
    <xf numFmtId="0" fontId="3" fillId="8" borderId="25" xfId="6" applyBorder="1" applyAlignment="1">
      <alignment wrapText="1"/>
    </xf>
    <xf numFmtId="0" fontId="0" fillId="0" borderId="10" xfId="0" applyBorder="1" applyAlignment="1">
      <alignment wrapText="1"/>
    </xf>
    <xf numFmtId="0" fontId="1" fillId="2" borderId="3" xfId="0" applyFont="1" applyFill="1" applyBorder="1" applyAlignment="1">
      <alignment wrapText="1"/>
    </xf>
    <xf numFmtId="0" fontId="1" fillId="0" borderId="4" xfId="0" applyFont="1" applyBorder="1" applyAlignment="1">
      <alignment wrapText="1"/>
    </xf>
    <xf numFmtId="0" fontId="1" fillId="0" borderId="5" xfId="0" applyFont="1" applyBorder="1" applyAlignment="1">
      <alignment wrapText="1"/>
    </xf>
    <xf numFmtId="0" fontId="1" fillId="0" borderId="6" xfId="0" applyFont="1" applyBorder="1" applyAlignment="1">
      <alignment wrapText="1"/>
    </xf>
    <xf numFmtId="0" fontId="1" fillId="0" borderId="7" xfId="0" applyFont="1" applyBorder="1" applyAlignment="1">
      <alignment wrapText="1"/>
    </xf>
    <xf numFmtId="0" fontId="1" fillId="0" borderId="9" xfId="0" applyFont="1" applyBorder="1" applyAlignment="1">
      <alignment wrapText="1"/>
    </xf>
    <xf numFmtId="0" fontId="6" fillId="5" borderId="12" xfId="3" applyBorder="1" applyAlignment="1"/>
    <xf numFmtId="0" fontId="0" fillId="0" borderId="17" xfId="0" applyBorder="1"/>
    <xf numFmtId="0" fontId="0" fillId="0" borderId="18" xfId="0" applyBorder="1"/>
    <xf numFmtId="0" fontId="3" fillId="8" borderId="30" xfId="6" applyBorder="1" applyAlignment="1">
      <alignment wrapText="1"/>
    </xf>
    <xf numFmtId="0" fontId="0" fillId="0" borderId="24" xfId="0" applyBorder="1" applyAlignment="1">
      <alignment wrapText="1"/>
    </xf>
    <xf numFmtId="0" fontId="1" fillId="2" borderId="28" xfId="0" applyFont="1" applyFill="1" applyBorder="1"/>
    <xf numFmtId="0" fontId="0" fillId="0" borderId="12" xfId="0" applyBorder="1" applyAlignment="1">
      <alignment horizontal="left"/>
    </xf>
    <xf numFmtId="0" fontId="0" fillId="0" borderId="18" xfId="0" applyBorder="1" applyAlignment="1">
      <alignment horizontal="left"/>
    </xf>
    <xf numFmtId="0" fontId="0" fillId="0" borderId="12" xfId="0" applyBorder="1"/>
    <xf numFmtId="0" fontId="0" fillId="0" borderId="3" xfId="0" applyBorder="1" applyAlignment="1">
      <alignment horizontal="left" wrapText="1"/>
    </xf>
    <xf numFmtId="0" fontId="0" fillId="0" borderId="2" xfId="0"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0" fillId="0" borderId="0" xfId="0" applyAlignment="1">
      <alignment horizontal="left" wrapText="1"/>
    </xf>
    <xf numFmtId="0" fontId="0" fillId="0" borderId="6"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0" fillId="0" borderId="9" xfId="0" applyBorder="1" applyAlignment="1">
      <alignment horizontal="left" wrapText="1"/>
    </xf>
    <xf numFmtId="0" fontId="0" fillId="0" borderId="2"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6" xfId="0" applyBorder="1" applyAlignment="1">
      <alignment horizontal="left"/>
    </xf>
    <xf numFmtId="0" fontId="0" fillId="0" borderId="7" xfId="0"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1" fillId="12" borderId="3" xfId="0" applyFont="1" applyFill="1" applyBorder="1"/>
    <xf numFmtId="0" fontId="1" fillId="0" borderId="2" xfId="0" applyFont="1" applyBorder="1"/>
    <xf numFmtId="0" fontId="1" fillId="11" borderId="28" xfId="0" applyFont="1" applyFill="1" applyBorder="1"/>
    <xf numFmtId="0" fontId="0" fillId="0" borderId="29" xfId="0" applyBorder="1"/>
    <xf numFmtId="0" fontId="0" fillId="0" borderId="3" xfId="0" applyBorder="1" applyAlignment="1">
      <alignment horizontal="left"/>
    </xf>
  </cellXfs>
  <cellStyles count="8">
    <cellStyle name="40% - Accent3" xfId="3" builtinId="39"/>
    <cellStyle name="40% - Accent4" xfId="7" builtinId="43"/>
    <cellStyle name="60% - Accent2" xfId="2" builtinId="36"/>
    <cellStyle name="60% - Accent5" xfId="5" builtinId="48"/>
    <cellStyle name="Accent2" xfId="1" builtinId="33"/>
    <cellStyle name="Accent3" xfId="6" builtinId="37"/>
    <cellStyle name="Accent5" xfId="4" builtinId="45"/>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9</xdr:row>
          <xdr:rowOff>0</xdr:rowOff>
        </xdr:from>
        <xdr:to>
          <xdr:col>2</xdr:col>
          <xdr:colOff>1428750</xdr:colOff>
          <xdr:row>11</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Begin Questionnaire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4600575</xdr:colOff>
          <xdr:row>90</xdr:row>
          <xdr:rowOff>123825</xdr:rowOff>
        </xdr:from>
        <xdr:to>
          <xdr:col>3</xdr:col>
          <xdr:colOff>0</xdr:colOff>
          <xdr:row>92</xdr:row>
          <xdr:rowOff>123825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Calculcate Estimation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73</xdr:row>
          <xdr:rowOff>104775</xdr:rowOff>
        </xdr:from>
        <xdr:to>
          <xdr:col>2</xdr:col>
          <xdr:colOff>790575</xdr:colOff>
          <xdr:row>75</xdr:row>
          <xdr:rowOff>104775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Review Variables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904875</xdr:colOff>
          <xdr:row>73</xdr:row>
          <xdr:rowOff>104775</xdr:rowOff>
        </xdr:from>
        <xdr:to>
          <xdr:col>2</xdr:col>
          <xdr:colOff>2343150</xdr:colOff>
          <xdr:row>75</xdr:row>
          <xdr:rowOff>104775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Review Questionnaire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717B893-A3B7-4DF4-8556-FFFA65273B53}" name="Table1" displayName="Table1" ref="C1:C4" totalsRowShown="0">
  <autoFilter ref="C1:C4" xr:uid="{A58E22B1-CD7E-4D7F-89A1-BB35110E089C}"/>
  <tableColumns count="1">
    <tableColumn id="1" xr3:uid="{6EDC1F33-8A6F-4180-AD7A-B08611BA64E0}" name="Column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DABF8-DE97-4334-A991-F9E7A721626A}" name="Table2" displayName="Table2" ref="B8:B10" totalsRowShown="0">
  <autoFilter ref="B8:B10" xr:uid="{51952361-2225-4F18-9651-F609316C26A7}"/>
  <tableColumns count="1">
    <tableColumn id="1" xr3:uid="{719ACF71-D3FC-41F8-997A-A72EF6BBBE0D}" name="Column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3CE7E66-900E-4D05-B9F7-CB9620ECA736}" name="Table3" displayName="Table3" ref="B17:B38" totalsRowShown="0">
  <autoFilter ref="B17:B38" xr:uid="{F15C4CEF-1A07-4902-952C-EAE3B6240E30}"/>
  <tableColumns count="1">
    <tableColumn id="1" xr3:uid="{DE17E166-F7F8-4CF4-9438-F65DD59E5292}" name="Column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18BB71-6A42-43A3-AB29-50E8D41790B6}" name="Table5" displayName="Table5" ref="D17:D21" totalsRowShown="0">
  <autoFilter ref="D17:D21" xr:uid="{2618BB71-6A42-43A3-AB29-50E8D41790B6}"/>
  <tableColumns count="1">
    <tableColumn id="1" xr3:uid="{C2F687BF-1731-43B8-A712-1A8AB5EB4B31}" name="No.Of env"/>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A19C994-EA80-4B24-ADCD-B77A3D839500}" name="Table25" displayName="Table25" ref="G11:G14" totalsRowShown="0">
  <autoFilter ref="G11:G14" xr:uid="{1A19C994-EA80-4B24-ADCD-B77A3D839500}"/>
  <tableColumns count="1">
    <tableColumn id="1" xr3:uid="{6F02324E-A95A-4AEF-BE3F-D85CFDC1F098}" name="Type of Chang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B276EC9-C960-453F-AF42-9B8AAE21F406}" name="Table257" displayName="Table257" ref="G18:G22" totalsRowShown="0">
  <autoFilter ref="G18:G22" xr:uid="{1B276EC9-C960-453F-AF42-9B8AAE21F406}"/>
  <tableColumns count="1">
    <tableColumn id="1" xr3:uid="{845B3ACE-EE6D-4ACC-B65C-618E9C65D3DC}" name="Type of API"/>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C35EB-A98E-483F-AB63-E4E4FAC56862}">
  <sheetPr codeName="Sheet7"/>
  <dimension ref="A2:E23"/>
  <sheetViews>
    <sheetView showGridLines="0" tabSelected="1" topLeftCell="A15" workbookViewId="0">
      <selection activeCell="C23" sqref="C23"/>
    </sheetView>
  </sheetViews>
  <sheetFormatPr defaultRowHeight="15" x14ac:dyDescent="0.25"/>
  <cols>
    <col min="3" max="3" width="86.42578125" customWidth="1"/>
  </cols>
  <sheetData>
    <row r="2" spans="1:5" ht="33.75" x14ac:dyDescent="0.5">
      <c r="B2" s="5"/>
      <c r="C2" s="21" t="s">
        <v>48</v>
      </c>
      <c r="D2" s="7"/>
    </row>
    <row r="3" spans="1:5" x14ac:dyDescent="0.25">
      <c r="B3" s="8"/>
      <c r="C3" s="11"/>
      <c r="D3" s="10"/>
    </row>
    <row r="4" spans="1:5" ht="60" x14ac:dyDescent="0.25">
      <c r="B4" s="8"/>
      <c r="C4" s="12" t="s">
        <v>51</v>
      </c>
      <c r="D4" s="10"/>
    </row>
    <row r="5" spans="1:5" x14ac:dyDescent="0.25">
      <c r="B5" s="8"/>
      <c r="C5" s="11"/>
      <c r="D5" s="10"/>
    </row>
    <row r="6" spans="1:5" x14ac:dyDescent="0.25">
      <c r="B6" s="8"/>
      <c r="C6" s="9" t="s">
        <v>49</v>
      </c>
      <c r="D6" s="10"/>
    </row>
    <row r="7" spans="1:5" x14ac:dyDescent="0.25">
      <c r="B7" s="8"/>
      <c r="C7" s="11"/>
      <c r="D7" s="10"/>
    </row>
    <row r="8" spans="1:5" ht="45" x14ac:dyDescent="0.25">
      <c r="B8" s="8"/>
      <c r="C8" s="12" t="s">
        <v>50</v>
      </c>
      <c r="D8" s="10"/>
    </row>
    <row r="9" spans="1:5" x14ac:dyDescent="0.25">
      <c r="B9" s="8"/>
      <c r="C9" s="11"/>
      <c r="D9" s="10"/>
    </row>
    <row r="10" spans="1:5" x14ac:dyDescent="0.25">
      <c r="B10" s="8"/>
      <c r="C10" s="11"/>
      <c r="D10" s="10"/>
    </row>
    <row r="11" spans="1:5" x14ac:dyDescent="0.25">
      <c r="B11" s="8"/>
      <c r="C11" s="11"/>
      <c r="D11" s="10"/>
    </row>
    <row r="12" spans="1:5" x14ac:dyDescent="0.25">
      <c r="B12" s="8"/>
      <c r="C12" s="11"/>
      <c r="D12" s="10"/>
    </row>
    <row r="13" spans="1:5" x14ac:dyDescent="0.25">
      <c r="B13" s="13"/>
      <c r="C13" s="14"/>
      <c r="D13" s="15"/>
    </row>
    <row r="16" spans="1:5" x14ac:dyDescent="0.25">
      <c r="A16" s="45" t="s">
        <v>121</v>
      </c>
      <c r="B16" s="45" t="s">
        <v>118</v>
      </c>
      <c r="C16" s="45" t="s">
        <v>119</v>
      </c>
      <c r="D16" s="45" t="s">
        <v>120</v>
      </c>
      <c r="E16" s="45"/>
    </row>
    <row r="17" spans="1:5" x14ac:dyDescent="0.25">
      <c r="A17" s="44">
        <v>1</v>
      </c>
      <c r="B17" s="44" t="s">
        <v>125</v>
      </c>
      <c r="C17" s="44" t="s">
        <v>126</v>
      </c>
      <c r="D17" s="44"/>
      <c r="E17" s="44"/>
    </row>
    <row r="18" spans="1:5" x14ac:dyDescent="0.25">
      <c r="A18" s="44">
        <v>2</v>
      </c>
      <c r="B18" s="44" t="s">
        <v>122</v>
      </c>
      <c r="C18" s="44" t="s">
        <v>123</v>
      </c>
      <c r="D18" s="44" t="s">
        <v>124</v>
      </c>
      <c r="E18" s="44"/>
    </row>
    <row r="19" spans="1:5" x14ac:dyDescent="0.25">
      <c r="A19" s="44">
        <v>3</v>
      </c>
      <c r="B19" s="44" t="s">
        <v>133</v>
      </c>
      <c r="C19" s="44" t="s">
        <v>139</v>
      </c>
      <c r="D19" s="44" t="s">
        <v>124</v>
      </c>
      <c r="E19" s="44"/>
    </row>
    <row r="20" spans="1:5" x14ac:dyDescent="0.25">
      <c r="A20" s="44">
        <v>4</v>
      </c>
      <c r="B20" s="44" t="s">
        <v>137</v>
      </c>
      <c r="C20" s="44" t="s">
        <v>138</v>
      </c>
      <c r="D20" s="44" t="s">
        <v>124</v>
      </c>
      <c r="E20" s="44"/>
    </row>
    <row r="21" spans="1:5" ht="30" x14ac:dyDescent="0.25">
      <c r="A21" s="44">
        <v>5</v>
      </c>
      <c r="B21" s="44" t="s">
        <v>150</v>
      </c>
      <c r="C21" s="49" t="s">
        <v>155</v>
      </c>
      <c r="D21" s="44" t="s">
        <v>124</v>
      </c>
      <c r="E21" s="44"/>
    </row>
    <row r="22" spans="1:5" ht="60" x14ac:dyDescent="0.25">
      <c r="A22" s="44">
        <v>5</v>
      </c>
      <c r="B22" s="44" t="s">
        <v>240</v>
      </c>
      <c r="C22" s="49" t="s">
        <v>249</v>
      </c>
      <c r="D22" s="84" t="s">
        <v>241</v>
      </c>
      <c r="E22" s="85"/>
    </row>
    <row r="23" spans="1:5" x14ac:dyDescent="0.25">
      <c r="A23" s="44">
        <v>6</v>
      </c>
      <c r="B23" s="44" t="s">
        <v>255</v>
      </c>
      <c r="C23" s="44" t="s">
        <v>256</v>
      </c>
      <c r="D23" s="84" t="s">
        <v>241</v>
      </c>
      <c r="E23" s="85"/>
    </row>
  </sheetData>
  <mergeCells count="2">
    <mergeCell ref="D22:E22"/>
    <mergeCell ref="D23:E23"/>
  </mergeCells>
  <pageMargins left="0.7" right="0.7" top="0.75" bottom="0.75" header="0.3" footer="0.3"/>
  <pageSetup paperSize="9" orientation="portrait" r:id="rId1"/>
  <headerFooter>
    <oddHeader>&amp;C&amp;"Calibri"&amp;11&amp;K000000OFFICIAL&amp;1#</oddHeader>
    <oddFooter>&amp;C&amp;1#&amp;"Calibri"&amp;9&amp;K000000OFFICIAL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View_Questionnaire">
                <anchor moveWithCells="1" sizeWithCells="1">
                  <from>
                    <xdr:col>2</xdr:col>
                    <xdr:colOff>19050</xdr:colOff>
                    <xdr:row>9</xdr:row>
                    <xdr:rowOff>0</xdr:rowOff>
                  </from>
                  <to>
                    <xdr:col>2</xdr:col>
                    <xdr:colOff>1428750</xdr:colOff>
                    <xdr:row>11</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95978-D305-4426-8EB1-B314220E4982}">
  <sheetPr codeName="Sheet5"/>
  <dimension ref="B2:E93"/>
  <sheetViews>
    <sheetView showGridLines="0" topLeftCell="A33" zoomScale="115" zoomScaleNormal="115" workbookViewId="0">
      <selection activeCell="B34" sqref="B34"/>
    </sheetView>
  </sheetViews>
  <sheetFormatPr defaultRowHeight="15" x14ac:dyDescent="0.25"/>
  <cols>
    <col min="2" max="2" width="84.42578125" bestFit="1" customWidth="1"/>
    <col min="3" max="4" width="10" customWidth="1"/>
    <col min="5" max="5" width="8.85546875" style="2"/>
    <col min="9" max="9" width="10.42578125" customWidth="1"/>
  </cols>
  <sheetData>
    <row r="2" spans="2:4" ht="33.75" x14ac:dyDescent="0.5">
      <c r="B2" s="16" t="s">
        <v>79</v>
      </c>
      <c r="C2" s="7"/>
    </row>
    <row r="3" spans="2:4" x14ac:dyDescent="0.25">
      <c r="B3" s="8"/>
      <c r="C3" s="10"/>
    </row>
    <row r="4" spans="2:4" x14ac:dyDescent="0.25">
      <c r="B4" s="17" t="s">
        <v>8</v>
      </c>
      <c r="C4" s="18"/>
      <c r="D4" s="2"/>
    </row>
    <row r="5" spans="2:4" x14ac:dyDescent="0.25">
      <c r="B5" s="8"/>
      <c r="C5" s="18"/>
      <c r="D5" s="2"/>
    </row>
    <row r="6" spans="2:4" x14ac:dyDescent="0.25">
      <c r="B6" s="8" t="s">
        <v>9</v>
      </c>
      <c r="C6" s="19" t="s">
        <v>17</v>
      </c>
      <c r="D6" s="2"/>
    </row>
    <row r="7" spans="2:4" x14ac:dyDescent="0.25">
      <c r="B7" s="8" t="s">
        <v>41</v>
      </c>
      <c r="C7" s="19" t="s">
        <v>73</v>
      </c>
      <c r="D7" s="2"/>
    </row>
    <row r="8" spans="2:4" x14ac:dyDescent="0.25">
      <c r="B8" s="8"/>
      <c r="C8" s="18"/>
      <c r="D8" s="2"/>
    </row>
    <row r="9" spans="2:4" x14ac:dyDescent="0.25">
      <c r="B9" s="17" t="s">
        <v>13</v>
      </c>
      <c r="C9" s="18"/>
      <c r="D9" s="2"/>
    </row>
    <row r="10" spans="2:4" x14ac:dyDescent="0.25">
      <c r="B10" s="8"/>
      <c r="C10" s="10"/>
    </row>
    <row r="11" spans="2:4" x14ac:dyDescent="0.25">
      <c r="B11" s="8" t="s">
        <v>64</v>
      </c>
      <c r="C11" s="19" t="s">
        <v>17</v>
      </c>
      <c r="D11" s="2"/>
    </row>
    <row r="12" spans="2:4" x14ac:dyDescent="0.25">
      <c r="B12" s="8" t="s">
        <v>65</v>
      </c>
      <c r="C12" s="19" t="s">
        <v>17</v>
      </c>
      <c r="D12" s="2"/>
    </row>
    <row r="13" spans="2:4" x14ac:dyDescent="0.25">
      <c r="B13" s="8" t="s">
        <v>66</v>
      </c>
      <c r="C13" s="19" t="s">
        <v>17</v>
      </c>
      <c r="D13" s="2"/>
    </row>
    <row r="14" spans="2:4" x14ac:dyDescent="0.25">
      <c r="B14" s="8" t="s">
        <v>70</v>
      </c>
      <c r="C14" s="19" t="s">
        <v>17</v>
      </c>
      <c r="D14" s="2"/>
    </row>
    <row r="15" spans="2:4" x14ac:dyDescent="0.25">
      <c r="B15" s="8" t="s">
        <v>69</v>
      </c>
      <c r="C15" s="19" t="s">
        <v>17</v>
      </c>
      <c r="D15" s="2"/>
    </row>
    <row r="16" spans="2:4" x14ac:dyDescent="0.25">
      <c r="B16" s="8" t="s">
        <v>68</v>
      </c>
      <c r="C16" s="19" t="s">
        <v>17</v>
      </c>
      <c r="D16" s="2"/>
    </row>
    <row r="17" spans="2:4" x14ac:dyDescent="0.25">
      <c r="B17" s="8" t="s">
        <v>67</v>
      </c>
      <c r="C17" s="19" t="s">
        <v>17</v>
      </c>
      <c r="D17" s="2"/>
    </row>
    <row r="18" spans="2:4" x14ac:dyDescent="0.25">
      <c r="B18" s="8" t="s">
        <v>21</v>
      </c>
      <c r="C18" s="19" t="s">
        <v>17</v>
      </c>
      <c r="D18" s="2"/>
    </row>
    <row r="19" spans="2:4" x14ac:dyDescent="0.25">
      <c r="B19" s="8" t="s">
        <v>173</v>
      </c>
      <c r="C19" s="19">
        <v>0</v>
      </c>
      <c r="D19" s="2"/>
    </row>
    <row r="20" spans="2:4" x14ac:dyDescent="0.25">
      <c r="B20" s="8"/>
      <c r="C20" s="18"/>
      <c r="D20" s="2"/>
    </row>
    <row r="21" spans="2:4" x14ac:dyDescent="0.25">
      <c r="B21" s="17" t="s">
        <v>4</v>
      </c>
      <c r="C21" s="18"/>
      <c r="D21" s="2"/>
    </row>
    <row r="22" spans="2:4" x14ac:dyDescent="0.25">
      <c r="B22" s="17"/>
      <c r="C22" s="18"/>
      <c r="D22" s="2"/>
    </row>
    <row r="23" spans="2:4" x14ac:dyDescent="0.25">
      <c r="B23" s="8" t="s">
        <v>135</v>
      </c>
      <c r="C23" s="19" t="s">
        <v>2</v>
      </c>
      <c r="D23" s="2"/>
    </row>
    <row r="24" spans="2:4" x14ac:dyDescent="0.25">
      <c r="B24" s="8" t="s">
        <v>136</v>
      </c>
      <c r="C24" s="19" t="s">
        <v>2</v>
      </c>
      <c r="D24" s="2"/>
    </row>
    <row r="25" spans="2:4" x14ac:dyDescent="0.25">
      <c r="B25" s="8" t="s">
        <v>189</v>
      </c>
      <c r="C25" s="19">
        <v>1</v>
      </c>
      <c r="D25" s="2"/>
    </row>
    <row r="26" spans="2:4" x14ac:dyDescent="0.25">
      <c r="B26" s="8" t="s">
        <v>174</v>
      </c>
      <c r="C26" s="19">
        <v>1</v>
      </c>
      <c r="D26" s="2"/>
    </row>
    <row r="27" spans="2:4" x14ac:dyDescent="0.25">
      <c r="B27" s="8" t="s">
        <v>131</v>
      </c>
      <c r="C27" s="19">
        <v>0</v>
      </c>
      <c r="D27" s="2"/>
    </row>
    <row r="28" spans="2:4" x14ac:dyDescent="0.25">
      <c r="B28" s="8" t="s">
        <v>134</v>
      </c>
      <c r="C28" s="19">
        <v>0</v>
      </c>
      <c r="D28" s="2"/>
    </row>
    <row r="29" spans="2:4" x14ac:dyDescent="0.25">
      <c r="B29" s="8" t="s">
        <v>128</v>
      </c>
      <c r="C29" s="19">
        <v>0</v>
      </c>
      <c r="D29" s="2"/>
    </row>
    <row r="30" spans="2:4" x14ac:dyDescent="0.25">
      <c r="B30" s="8" t="s">
        <v>158</v>
      </c>
      <c r="C30" s="19">
        <v>0</v>
      </c>
      <c r="D30" s="2"/>
    </row>
    <row r="31" spans="2:4" x14ac:dyDescent="0.25">
      <c r="B31" s="8"/>
      <c r="C31" s="18"/>
      <c r="D31" s="2"/>
    </row>
    <row r="32" spans="2:4" x14ac:dyDescent="0.25">
      <c r="B32" s="17" t="s">
        <v>3</v>
      </c>
      <c r="C32" s="18"/>
      <c r="D32" s="2"/>
    </row>
    <row r="33" spans="2:4" x14ac:dyDescent="0.25">
      <c r="B33" s="17"/>
      <c r="C33" s="18"/>
      <c r="D33" s="2"/>
    </row>
    <row r="34" spans="2:4" x14ac:dyDescent="0.25">
      <c r="B34" s="8" t="s">
        <v>188</v>
      </c>
      <c r="C34" s="19">
        <v>1</v>
      </c>
      <c r="D34" s="2"/>
    </row>
    <row r="35" spans="2:4" x14ac:dyDescent="0.25">
      <c r="B35" s="8" t="s">
        <v>164</v>
      </c>
      <c r="C35" s="19">
        <v>1</v>
      </c>
      <c r="D35" s="2"/>
    </row>
    <row r="36" spans="2:4" x14ac:dyDescent="0.25">
      <c r="B36" s="8" t="s">
        <v>165</v>
      </c>
      <c r="C36" s="19">
        <v>0</v>
      </c>
      <c r="D36" s="2"/>
    </row>
    <row r="37" spans="2:4" x14ac:dyDescent="0.25">
      <c r="B37" s="8" t="s">
        <v>166</v>
      </c>
      <c r="C37" s="19">
        <v>0</v>
      </c>
      <c r="D37" s="2"/>
    </row>
    <row r="38" spans="2:4" x14ac:dyDescent="0.25">
      <c r="B38" s="8" t="s">
        <v>167</v>
      </c>
      <c r="C38" s="19">
        <v>0</v>
      </c>
      <c r="D38" s="2"/>
    </row>
    <row r="39" spans="2:4" x14ac:dyDescent="0.25">
      <c r="B39" s="8" t="s">
        <v>168</v>
      </c>
      <c r="C39" s="19">
        <v>0</v>
      </c>
      <c r="D39" s="2"/>
    </row>
    <row r="40" spans="2:4" x14ac:dyDescent="0.25">
      <c r="B40" s="8" t="s">
        <v>169</v>
      </c>
      <c r="C40" s="19">
        <v>0</v>
      </c>
      <c r="D40" s="2"/>
    </row>
    <row r="41" spans="2:4" x14ac:dyDescent="0.25">
      <c r="B41" s="8" t="s">
        <v>250</v>
      </c>
      <c r="C41" s="19">
        <v>5</v>
      </c>
      <c r="D41" s="2"/>
    </row>
    <row r="42" spans="2:4" x14ac:dyDescent="0.25">
      <c r="B42" s="8" t="s">
        <v>253</v>
      </c>
      <c r="C42" s="19">
        <v>1</v>
      </c>
      <c r="D42" s="2"/>
    </row>
    <row r="43" spans="2:4" x14ac:dyDescent="0.25">
      <c r="B43" s="8"/>
      <c r="C43" s="18"/>
      <c r="D43" s="2"/>
    </row>
    <row r="44" spans="2:4" x14ac:dyDescent="0.25">
      <c r="B44" s="17" t="s">
        <v>0</v>
      </c>
      <c r="C44" s="18"/>
      <c r="D44" s="2"/>
    </row>
    <row r="45" spans="2:4" x14ac:dyDescent="0.25">
      <c r="B45" s="17"/>
      <c r="C45" s="18"/>
      <c r="D45" s="2"/>
    </row>
    <row r="46" spans="2:4" x14ac:dyDescent="0.25">
      <c r="B46" s="8" t="s">
        <v>170</v>
      </c>
      <c r="C46" s="19">
        <v>0</v>
      </c>
      <c r="D46" s="2"/>
    </row>
    <row r="47" spans="2:4" x14ac:dyDescent="0.25">
      <c r="B47" s="8" t="s">
        <v>159</v>
      </c>
      <c r="C47" s="19">
        <v>1</v>
      </c>
      <c r="D47" s="2"/>
    </row>
    <row r="48" spans="2:4" x14ac:dyDescent="0.25">
      <c r="B48" s="8" t="s">
        <v>160</v>
      </c>
      <c r="C48" s="19">
        <v>0</v>
      </c>
      <c r="D48" s="2"/>
    </row>
    <row r="49" spans="2:4" x14ac:dyDescent="0.25">
      <c r="B49" s="8" t="s">
        <v>161</v>
      </c>
      <c r="C49" s="19">
        <v>0</v>
      </c>
      <c r="D49" s="2"/>
    </row>
    <row r="50" spans="2:4" x14ac:dyDescent="0.25">
      <c r="B50" s="8" t="s">
        <v>175</v>
      </c>
      <c r="C50" s="19">
        <v>0</v>
      </c>
      <c r="D50" s="2"/>
    </row>
    <row r="51" spans="2:4" x14ac:dyDescent="0.25">
      <c r="B51" s="8" t="s">
        <v>162</v>
      </c>
      <c r="C51" s="19">
        <v>0</v>
      </c>
      <c r="D51" s="2"/>
    </row>
    <row r="52" spans="2:4" x14ac:dyDescent="0.25">
      <c r="B52" s="8" t="s">
        <v>163</v>
      </c>
      <c r="C52" s="19">
        <v>0</v>
      </c>
      <c r="D52" s="2"/>
    </row>
    <row r="53" spans="2:4" x14ac:dyDescent="0.25">
      <c r="B53" s="8" t="s">
        <v>250</v>
      </c>
      <c r="C53" s="19">
        <v>0</v>
      </c>
      <c r="D53" s="2"/>
    </row>
    <row r="54" spans="2:4" x14ac:dyDescent="0.25">
      <c r="B54" s="8" t="s">
        <v>252</v>
      </c>
      <c r="C54" s="19">
        <v>1</v>
      </c>
      <c r="D54" s="2"/>
    </row>
    <row r="55" spans="2:4" x14ac:dyDescent="0.25">
      <c r="B55" s="8"/>
      <c r="C55" s="18"/>
      <c r="D55" s="2"/>
    </row>
    <row r="56" spans="2:4" x14ac:dyDescent="0.25">
      <c r="B56" s="17" t="s">
        <v>1</v>
      </c>
      <c r="C56" s="18"/>
      <c r="D56" s="2"/>
    </row>
    <row r="57" spans="2:4" x14ac:dyDescent="0.25">
      <c r="B57" s="17"/>
      <c r="C57" s="18"/>
      <c r="D57" s="2"/>
    </row>
    <row r="58" spans="2:4" x14ac:dyDescent="0.25">
      <c r="B58" s="8" t="s">
        <v>171</v>
      </c>
      <c r="C58" s="19">
        <v>0</v>
      </c>
      <c r="D58" s="2"/>
    </row>
    <row r="59" spans="2:4" x14ac:dyDescent="0.25">
      <c r="B59" s="8" t="s">
        <v>176</v>
      </c>
      <c r="C59" s="19">
        <v>5</v>
      </c>
      <c r="D59" s="2"/>
    </row>
    <row r="60" spans="2:4" x14ac:dyDescent="0.25">
      <c r="B60" s="8" t="s">
        <v>177</v>
      </c>
      <c r="C60" s="19">
        <v>0</v>
      </c>
      <c r="D60" s="2"/>
    </row>
    <row r="61" spans="2:4" x14ac:dyDescent="0.25">
      <c r="B61" s="8" t="s">
        <v>178</v>
      </c>
      <c r="C61" s="19">
        <v>0</v>
      </c>
      <c r="D61" s="2"/>
    </row>
    <row r="62" spans="2:4" x14ac:dyDescent="0.25">
      <c r="B62" s="8" t="s">
        <v>179</v>
      </c>
      <c r="C62" s="19">
        <v>0</v>
      </c>
      <c r="D62" s="2"/>
    </row>
    <row r="63" spans="2:4" x14ac:dyDescent="0.25">
      <c r="B63" s="8" t="s">
        <v>180</v>
      </c>
      <c r="C63" s="19">
        <v>0</v>
      </c>
      <c r="D63" s="2"/>
    </row>
    <row r="64" spans="2:4" x14ac:dyDescent="0.25">
      <c r="B64" s="8" t="s">
        <v>181</v>
      </c>
      <c r="C64" s="19">
        <v>0</v>
      </c>
      <c r="D64" s="2"/>
    </row>
    <row r="65" spans="2:4" x14ac:dyDescent="0.25">
      <c r="B65" s="8" t="s">
        <v>250</v>
      </c>
      <c r="C65" s="19">
        <v>0</v>
      </c>
      <c r="D65" s="2"/>
    </row>
    <row r="66" spans="2:4" x14ac:dyDescent="0.25">
      <c r="B66" s="8" t="s">
        <v>251</v>
      </c>
      <c r="C66" s="19">
        <v>1</v>
      </c>
      <c r="D66" s="2"/>
    </row>
    <row r="67" spans="2:4" x14ac:dyDescent="0.25">
      <c r="B67" s="8"/>
      <c r="C67" s="18"/>
      <c r="D67" s="2"/>
    </row>
    <row r="68" spans="2:4" x14ac:dyDescent="0.25">
      <c r="B68" s="17" t="s">
        <v>100</v>
      </c>
      <c r="C68" s="18"/>
      <c r="D68" s="2"/>
    </row>
    <row r="69" spans="2:4" x14ac:dyDescent="0.25">
      <c r="B69" s="17"/>
      <c r="C69" s="18"/>
      <c r="D69" s="2"/>
    </row>
    <row r="70" spans="2:4" x14ac:dyDescent="0.25">
      <c r="B70" s="8" t="s">
        <v>172</v>
      </c>
      <c r="C70" s="19">
        <v>0</v>
      </c>
      <c r="D70" s="2"/>
    </row>
    <row r="71" spans="2:4" x14ac:dyDescent="0.25">
      <c r="B71" s="8" t="s">
        <v>182</v>
      </c>
      <c r="C71" s="19">
        <v>0</v>
      </c>
      <c r="D71" s="2"/>
    </row>
    <row r="72" spans="2:4" x14ac:dyDescent="0.25">
      <c r="B72" s="8" t="s">
        <v>183</v>
      </c>
      <c r="C72" s="19">
        <v>0</v>
      </c>
      <c r="D72" s="2"/>
    </row>
    <row r="73" spans="2:4" x14ac:dyDescent="0.25">
      <c r="B73" s="8" t="s">
        <v>184</v>
      </c>
      <c r="C73" s="19">
        <v>0</v>
      </c>
      <c r="D73" s="2"/>
    </row>
    <row r="74" spans="2:4" x14ac:dyDescent="0.25">
      <c r="B74" s="8" t="s">
        <v>185</v>
      </c>
      <c r="C74" s="19">
        <v>0</v>
      </c>
      <c r="D74" s="2"/>
    </row>
    <row r="75" spans="2:4" x14ac:dyDescent="0.25">
      <c r="B75" s="8" t="s">
        <v>186</v>
      </c>
      <c r="C75" s="19">
        <v>0</v>
      </c>
      <c r="D75" s="2"/>
    </row>
    <row r="76" spans="2:4" x14ac:dyDescent="0.25">
      <c r="B76" s="8" t="s">
        <v>187</v>
      </c>
      <c r="C76" s="19">
        <v>0</v>
      </c>
      <c r="D76" s="2"/>
    </row>
    <row r="77" spans="2:4" x14ac:dyDescent="0.25">
      <c r="B77" s="8" t="s">
        <v>250</v>
      </c>
      <c r="C77" s="19">
        <v>0</v>
      </c>
      <c r="D77" s="2"/>
    </row>
    <row r="78" spans="2:4" x14ac:dyDescent="0.25">
      <c r="B78" s="8"/>
      <c r="C78" s="18"/>
      <c r="D78" s="2"/>
    </row>
    <row r="79" spans="2:4" x14ac:dyDescent="0.25">
      <c r="B79" s="17" t="s">
        <v>242</v>
      </c>
      <c r="C79" s="18"/>
      <c r="D79" s="2"/>
    </row>
    <row r="80" spans="2:4" x14ac:dyDescent="0.25">
      <c r="B80" s="8"/>
      <c r="C80" s="18"/>
      <c r="D80" s="2"/>
    </row>
    <row r="81" spans="2:4" x14ac:dyDescent="0.25">
      <c r="B81" s="8" t="s">
        <v>243</v>
      </c>
      <c r="C81" s="19">
        <v>1</v>
      </c>
      <c r="D81" s="2"/>
    </row>
    <row r="82" spans="2:4" x14ac:dyDescent="0.25">
      <c r="B82" s="8" t="s">
        <v>244</v>
      </c>
      <c r="C82" s="19">
        <v>0</v>
      </c>
      <c r="D82" s="2"/>
    </row>
    <row r="83" spans="2:4" x14ac:dyDescent="0.25">
      <c r="B83" s="8" t="s">
        <v>245</v>
      </c>
      <c r="C83" s="19">
        <v>0</v>
      </c>
      <c r="D83" s="2"/>
    </row>
    <row r="84" spans="2:4" x14ac:dyDescent="0.25">
      <c r="B84" s="8"/>
      <c r="C84" s="18"/>
      <c r="D84" s="2"/>
    </row>
    <row r="85" spans="2:4" x14ac:dyDescent="0.25">
      <c r="B85" s="17" t="s">
        <v>25</v>
      </c>
      <c r="C85" s="18"/>
      <c r="D85" s="2"/>
    </row>
    <row r="86" spans="2:4" x14ac:dyDescent="0.25">
      <c r="B86" s="17"/>
      <c r="C86" s="18"/>
      <c r="D86" s="2"/>
    </row>
    <row r="87" spans="2:4" x14ac:dyDescent="0.25">
      <c r="B87" s="8" t="s">
        <v>5</v>
      </c>
      <c r="C87" s="19" t="s">
        <v>17</v>
      </c>
      <c r="D87" s="2"/>
    </row>
    <row r="88" spans="2:4" x14ac:dyDescent="0.25">
      <c r="B88" s="8" t="s">
        <v>6</v>
      </c>
      <c r="C88" s="19" t="s">
        <v>17</v>
      </c>
      <c r="D88" s="2"/>
    </row>
    <row r="89" spans="2:4" x14ac:dyDescent="0.25">
      <c r="B89" s="8" t="s">
        <v>7</v>
      </c>
      <c r="C89" s="19" t="s">
        <v>17</v>
      </c>
      <c r="D89" s="2"/>
    </row>
    <row r="90" spans="2:4" x14ac:dyDescent="0.25">
      <c r="B90" s="13"/>
      <c r="C90" s="20"/>
      <c r="D90" s="2"/>
    </row>
    <row r="91" spans="2:4" x14ac:dyDescent="0.25">
      <c r="D91" s="2"/>
    </row>
    <row r="92" spans="2:4" x14ac:dyDescent="0.25">
      <c r="D92" s="2"/>
    </row>
    <row r="93" spans="2:4" x14ac:dyDescent="0.25">
      <c r="D93" s="2"/>
    </row>
  </sheetData>
  <dataValidations count="1">
    <dataValidation type="list" allowBlank="1" showInputMessage="1" showErrorMessage="1" sqref="Q48:Q58" xr:uid="{5D725A25-4E39-4D9E-86CB-6B29515B587B}">
      <formula1>$I$10:$I$12</formula1>
    </dataValidation>
  </dataValidations>
  <pageMargins left="0.7" right="0.7" top="0.75" bottom="0.75" header="0.3" footer="0.3"/>
  <pageSetup paperSize="9" orientation="portrait" r:id="rId1"/>
  <headerFooter>
    <oddHeader>&amp;C&amp;"Calibri"&amp;11&amp;K000000OFFICIAL&amp;1#</oddHeader>
    <oddFooter>&amp;C&amp;1#&amp;"Calibri"&amp;9&amp;K000000OFFICIAL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view_estimate">
                <anchor moveWithCells="1" sizeWithCells="1">
                  <from>
                    <xdr:col>1</xdr:col>
                    <xdr:colOff>4600575</xdr:colOff>
                    <xdr:row>90</xdr:row>
                    <xdr:rowOff>123825</xdr:rowOff>
                  </from>
                  <to>
                    <xdr:col>3</xdr:col>
                    <xdr:colOff>0</xdr:colOff>
                    <xdr:row>92</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2A282E16-D143-4742-85E2-F2FC702769DC}">
          <x14:formula1>
            <xm:f>LOV!$C$2:$C$4</xm:f>
          </x14:formula1>
          <xm:sqref>C7</xm:sqref>
        </x14:dataValidation>
        <x14:dataValidation type="list" allowBlank="1" showInputMessage="1" showErrorMessage="1" xr:uid="{18B75041-C255-4F81-94E0-3007CF545241}">
          <x14:formula1>
            <xm:f>LOV!$B$9:$B$10</xm:f>
          </x14:formula1>
          <xm:sqref>C6 C23:C24 C87:C89 C11:C18</xm:sqref>
        </x14:dataValidation>
        <x14:dataValidation type="list" allowBlank="1" showInputMessage="1" showErrorMessage="1" xr:uid="{4527CA85-9603-4D68-AE29-B20308F3ED38}">
          <x14:formula1>
            <xm:f>LOV!$B$18:$B$23</xm:f>
          </x14:formula1>
          <xm:sqref>C46 C19:C20 C58</xm:sqref>
        </x14:dataValidation>
        <x14:dataValidation type="list" allowBlank="1" showErrorMessage="1" xr:uid="{1ED9F8E6-ABDE-42B3-ACF9-1025AB8E7C72}">
          <x14:formula1>
            <xm:f>LOV!$D$18:$D$21</xm:f>
          </x14:formula1>
          <xm:sqref>C55 C84 C43 C77:C80 C41 C65 C67</xm:sqref>
        </x14:dataValidation>
        <x14:dataValidation type="list" allowBlank="1" showErrorMessage="1" xr:uid="{178DBA07-BAB8-4568-AF49-858FF876A896}">
          <x14:formula1>
            <xm:f>LOV!$B$18:$B$38</xm:f>
          </x14:formula1>
          <xm:sqref>C83 C54 C42 C66</xm:sqref>
        </x14:dataValidation>
        <x14:dataValidation type="list" allowBlank="1" showInputMessage="1" showErrorMessage="1" xr:uid="{B368E941-3565-4FA6-8734-FB222D8CF815}">
          <x14:formula1>
            <xm:f>LOV!$B$18:$B$38</xm:f>
          </x14:formula1>
          <xm:sqref>C81:C82 C71:C76 C59:C64 C47:C52 C34:C40</xm:sqref>
        </x14:dataValidation>
        <x14:dataValidation type="list" allowBlank="1" showInputMessage="1" showErrorMessage="1" xr:uid="{C5E60735-CC6D-447F-A7DC-3725936D6E24}">
          <x14:formula1>
            <xm:f>LOV!$D$18:$D$21</xm:f>
          </x14:formula1>
          <xm:sqref>C53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EB3AE-E009-452E-B26B-D8D4D5B3598F}">
  <sheetPr codeName="Sheet1"/>
  <dimension ref="A1:G38"/>
  <sheetViews>
    <sheetView topLeftCell="A18" workbookViewId="0">
      <selection activeCell="D35" sqref="D35"/>
    </sheetView>
  </sheetViews>
  <sheetFormatPr defaultRowHeight="15" x14ac:dyDescent="0.25"/>
  <cols>
    <col min="2" max="3" width="10.42578125" customWidth="1"/>
    <col min="4" max="4" width="12.140625" customWidth="1"/>
    <col min="7" max="7" width="31.42578125" bestFit="1" customWidth="1"/>
  </cols>
  <sheetData>
    <row r="1" spans="2:7" x14ac:dyDescent="0.25">
      <c r="C1" t="s">
        <v>75</v>
      </c>
    </row>
    <row r="2" spans="2:7" x14ac:dyDescent="0.25">
      <c r="C2" t="s">
        <v>73</v>
      </c>
    </row>
    <row r="3" spans="2:7" x14ac:dyDescent="0.25">
      <c r="C3" t="s">
        <v>74</v>
      </c>
    </row>
    <row r="4" spans="2:7" x14ac:dyDescent="0.25">
      <c r="C4" t="s">
        <v>42</v>
      </c>
    </row>
    <row r="8" spans="2:7" x14ac:dyDescent="0.25">
      <c r="B8" t="s">
        <v>75</v>
      </c>
    </row>
    <row r="9" spans="2:7" x14ac:dyDescent="0.25">
      <c r="B9" t="s">
        <v>2</v>
      </c>
    </row>
    <row r="10" spans="2:7" x14ac:dyDescent="0.25">
      <c r="B10" t="s">
        <v>17</v>
      </c>
    </row>
    <row r="11" spans="2:7" x14ac:dyDescent="0.25">
      <c r="G11" t="s">
        <v>211</v>
      </c>
    </row>
    <row r="12" spans="2:7" x14ac:dyDescent="0.25">
      <c r="G12" t="s">
        <v>222</v>
      </c>
    </row>
    <row r="13" spans="2:7" x14ac:dyDescent="0.25">
      <c r="G13" t="s">
        <v>223</v>
      </c>
    </row>
    <row r="14" spans="2:7" x14ac:dyDescent="0.25">
      <c r="G14" t="s">
        <v>224</v>
      </c>
    </row>
    <row r="17" spans="1:7" x14ac:dyDescent="0.25">
      <c r="B17" t="s">
        <v>75</v>
      </c>
      <c r="D17" t="s">
        <v>149</v>
      </c>
    </row>
    <row r="18" spans="1:7" x14ac:dyDescent="0.25">
      <c r="A18">
        <v>0</v>
      </c>
      <c r="B18">
        <v>0</v>
      </c>
      <c r="D18">
        <v>0</v>
      </c>
      <c r="G18" t="s">
        <v>213</v>
      </c>
    </row>
    <row r="19" spans="1:7" x14ac:dyDescent="0.25">
      <c r="B19">
        <v>1</v>
      </c>
      <c r="D19">
        <v>3</v>
      </c>
      <c r="G19" t="s">
        <v>214</v>
      </c>
    </row>
    <row r="20" spans="1:7" x14ac:dyDescent="0.25">
      <c r="B20">
        <v>2</v>
      </c>
      <c r="D20">
        <v>4</v>
      </c>
      <c r="G20" t="s">
        <v>215</v>
      </c>
    </row>
    <row r="21" spans="1:7" x14ac:dyDescent="0.25">
      <c r="B21">
        <v>3</v>
      </c>
      <c r="D21">
        <v>5</v>
      </c>
      <c r="G21" t="s">
        <v>216</v>
      </c>
    </row>
    <row r="22" spans="1:7" x14ac:dyDescent="0.25">
      <c r="B22">
        <v>4</v>
      </c>
      <c r="G22" t="s">
        <v>217</v>
      </c>
    </row>
    <row r="23" spans="1:7" x14ac:dyDescent="0.25">
      <c r="B23">
        <v>5</v>
      </c>
    </row>
    <row r="24" spans="1:7" x14ac:dyDescent="0.25">
      <c r="B24">
        <v>6</v>
      </c>
    </row>
    <row r="25" spans="1:7" x14ac:dyDescent="0.25">
      <c r="B25">
        <v>7</v>
      </c>
    </row>
    <row r="26" spans="1:7" x14ac:dyDescent="0.25">
      <c r="B26">
        <v>8</v>
      </c>
    </row>
    <row r="27" spans="1:7" x14ac:dyDescent="0.25">
      <c r="B27">
        <v>9</v>
      </c>
    </row>
    <row r="28" spans="1:7" x14ac:dyDescent="0.25">
      <c r="B28">
        <v>10</v>
      </c>
    </row>
    <row r="29" spans="1:7" x14ac:dyDescent="0.25">
      <c r="B29">
        <v>11</v>
      </c>
    </row>
    <row r="30" spans="1:7" x14ac:dyDescent="0.25">
      <c r="B30">
        <v>12</v>
      </c>
    </row>
    <row r="31" spans="1:7" x14ac:dyDescent="0.25">
      <c r="B31">
        <v>13</v>
      </c>
    </row>
    <row r="32" spans="1:7" x14ac:dyDescent="0.25">
      <c r="B32">
        <v>14</v>
      </c>
    </row>
    <row r="33" spans="2:2" x14ac:dyDescent="0.25">
      <c r="B33">
        <v>15</v>
      </c>
    </row>
    <row r="34" spans="2:2" x14ac:dyDescent="0.25">
      <c r="B34">
        <v>16</v>
      </c>
    </row>
    <row r="35" spans="2:2" x14ac:dyDescent="0.25">
      <c r="B35">
        <v>17</v>
      </c>
    </row>
    <row r="36" spans="2:2" x14ac:dyDescent="0.25">
      <c r="B36">
        <v>18</v>
      </c>
    </row>
    <row r="37" spans="2:2" x14ac:dyDescent="0.25">
      <c r="B37">
        <v>19</v>
      </c>
    </row>
    <row r="38" spans="2:2" x14ac:dyDescent="0.25">
      <c r="B38">
        <v>20</v>
      </c>
    </row>
  </sheetData>
  <pageMargins left="0.7" right="0.7" top="0.75" bottom="0.75" header="0.3" footer="0.3"/>
  <pageSetup paperSize="9" orientation="portrait" r:id="rId1"/>
  <headerFooter>
    <oddHeader>&amp;C&amp;"Calibri"&amp;11&amp;K000000OFFICIAL&amp;1#</oddHeader>
    <oddFooter>&amp;C&amp;1#&amp;"Calibri"&amp;9&amp;K000000OFFICIAL</oddFooter>
  </headerFooter>
  <tableParts count="6">
    <tablePart r:id="rId2"/>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AD60A-2631-45AE-8167-505A35C6FF35}">
  <sheetPr codeName="Sheet4"/>
  <dimension ref="B2:M71"/>
  <sheetViews>
    <sheetView showGridLines="0" topLeftCell="A59" workbookViewId="0">
      <selection activeCell="B71" sqref="B71"/>
    </sheetView>
  </sheetViews>
  <sheetFormatPr defaultRowHeight="15" x14ac:dyDescent="0.25"/>
  <cols>
    <col min="2" max="2" width="52.7109375" bestFit="1" customWidth="1"/>
    <col min="10" max="10" width="42.140625" bestFit="1" customWidth="1"/>
    <col min="11" max="11" width="18.28515625" customWidth="1"/>
    <col min="12" max="12" width="19.140625" customWidth="1"/>
    <col min="13" max="13" width="13.42578125" customWidth="1"/>
  </cols>
  <sheetData>
    <row r="2" spans="2:13" ht="33.75" x14ac:dyDescent="0.5">
      <c r="B2" s="16" t="s">
        <v>80</v>
      </c>
      <c r="C2" s="6"/>
      <c r="D2" s="6"/>
      <c r="E2" s="7"/>
      <c r="J2" s="86" t="s">
        <v>140</v>
      </c>
      <c r="K2" s="86"/>
      <c r="L2" s="86"/>
      <c r="M2" s="41" t="s">
        <v>151</v>
      </c>
    </row>
    <row r="3" spans="2:13" ht="13.15" customHeight="1" x14ac:dyDescent="0.5">
      <c r="B3" s="22"/>
      <c r="C3" s="11"/>
      <c r="D3" s="11"/>
      <c r="E3" s="10"/>
      <c r="J3" s="52" t="s">
        <v>141</v>
      </c>
      <c r="K3" s="52" t="s">
        <v>142</v>
      </c>
      <c r="L3" s="52" t="s">
        <v>143</v>
      </c>
      <c r="M3" s="42"/>
    </row>
    <row r="4" spans="2:13" x14ac:dyDescent="0.25">
      <c r="B4" s="17" t="s">
        <v>40</v>
      </c>
      <c r="C4" s="11"/>
      <c r="D4" s="11"/>
      <c r="E4" s="10"/>
      <c r="J4" s="40" t="s">
        <v>144</v>
      </c>
      <c r="K4" s="38">
        <v>0.1</v>
      </c>
      <c r="L4" s="38">
        <v>1</v>
      </c>
      <c r="M4" s="43">
        <v>2</v>
      </c>
    </row>
    <row r="5" spans="2:13" x14ac:dyDescent="0.25">
      <c r="B5" s="8" t="s">
        <v>45</v>
      </c>
      <c r="C5" s="11">
        <v>10</v>
      </c>
      <c r="D5" s="11"/>
      <c r="E5" s="10"/>
      <c r="J5" s="40" t="s">
        <v>145</v>
      </c>
      <c r="K5" s="38">
        <v>0.1</v>
      </c>
      <c r="L5" s="38">
        <v>1</v>
      </c>
      <c r="M5" s="43">
        <v>2</v>
      </c>
    </row>
    <row r="6" spans="2:13" x14ac:dyDescent="0.25">
      <c r="B6" s="8" t="s">
        <v>46</v>
      </c>
      <c r="C6" s="11">
        <v>20</v>
      </c>
      <c r="D6" s="11"/>
      <c r="E6" s="10"/>
      <c r="J6" s="40" t="s">
        <v>146</v>
      </c>
      <c r="K6" s="38">
        <v>0.1</v>
      </c>
      <c r="L6" s="38">
        <v>1</v>
      </c>
      <c r="M6" s="43">
        <v>2</v>
      </c>
    </row>
    <row r="7" spans="2:13" x14ac:dyDescent="0.25">
      <c r="B7" s="8" t="s">
        <v>47</v>
      </c>
      <c r="C7" s="11">
        <v>30</v>
      </c>
      <c r="D7" s="11"/>
      <c r="E7" s="10"/>
      <c r="J7" s="40" t="s">
        <v>147</v>
      </c>
      <c r="K7" s="38">
        <v>0.1</v>
      </c>
      <c r="L7" s="38">
        <v>2</v>
      </c>
      <c r="M7" s="43">
        <v>2</v>
      </c>
    </row>
    <row r="8" spans="2:13" x14ac:dyDescent="0.25">
      <c r="B8" s="8" t="s">
        <v>43</v>
      </c>
      <c r="C8" s="11">
        <v>20</v>
      </c>
      <c r="D8" s="11"/>
      <c r="E8" s="10"/>
      <c r="J8" s="40" t="s">
        <v>148</v>
      </c>
      <c r="K8" s="38">
        <v>0.1</v>
      </c>
      <c r="L8" s="38">
        <v>2</v>
      </c>
      <c r="M8" s="43">
        <v>2</v>
      </c>
    </row>
    <row r="9" spans="2:13" x14ac:dyDescent="0.25">
      <c r="B9" s="8" t="s">
        <v>44</v>
      </c>
      <c r="C9" s="11">
        <v>20</v>
      </c>
      <c r="D9" s="11"/>
      <c r="E9" s="10"/>
      <c r="J9" s="50" t="s">
        <v>157</v>
      </c>
      <c r="K9" s="38">
        <v>0.1</v>
      </c>
      <c r="L9" s="38">
        <v>1</v>
      </c>
      <c r="M9" s="43">
        <v>2</v>
      </c>
    </row>
    <row r="10" spans="2:13" x14ac:dyDescent="0.25">
      <c r="B10" s="8"/>
      <c r="C10" s="11"/>
      <c r="D10" s="11"/>
      <c r="E10" s="10"/>
    </row>
    <row r="11" spans="2:13" x14ac:dyDescent="0.25">
      <c r="B11" s="17" t="s">
        <v>13</v>
      </c>
      <c r="C11" s="11"/>
      <c r="D11" s="11"/>
      <c r="E11" s="10"/>
    </row>
    <row r="12" spans="2:13" x14ac:dyDescent="0.25">
      <c r="B12" s="8" t="s">
        <v>18</v>
      </c>
      <c r="C12" s="11">
        <v>75</v>
      </c>
      <c r="D12" s="11"/>
      <c r="E12" s="10"/>
    </row>
    <row r="13" spans="2:13" x14ac:dyDescent="0.25">
      <c r="B13" s="8" t="s">
        <v>19</v>
      </c>
      <c r="C13" s="11">
        <v>25</v>
      </c>
      <c r="D13" s="11"/>
      <c r="E13" s="10"/>
    </row>
    <row r="14" spans="2:13" x14ac:dyDescent="0.25">
      <c r="B14" s="8" t="str">
        <f>'Integration Estimate'!C15</f>
        <v>Security Approval for Integration</v>
      </c>
      <c r="C14" s="11">
        <v>5</v>
      </c>
      <c r="D14" s="11"/>
      <c r="E14" s="10"/>
      <c r="J14" t="s">
        <v>152</v>
      </c>
    </row>
    <row r="15" spans="2:13" x14ac:dyDescent="0.25">
      <c r="B15" s="8" t="str">
        <f>'Integration Estimate'!C16</f>
        <v>Whitelisting of IP Address</v>
      </c>
      <c r="C15" s="11">
        <v>0.5</v>
      </c>
      <c r="D15" s="11"/>
      <c r="E15" s="10"/>
      <c r="J15" s="39" t="s">
        <v>156</v>
      </c>
    </row>
    <row r="16" spans="2:13" x14ac:dyDescent="0.25">
      <c r="B16" s="8" t="str">
        <f>'Integration Estimate'!C17</f>
        <v>Domain Name Server Entry Creation</v>
      </c>
      <c r="C16" s="11">
        <v>2</v>
      </c>
      <c r="D16" s="11"/>
      <c r="E16" s="10"/>
    </row>
    <row r="17" spans="2:5" x14ac:dyDescent="0.25">
      <c r="B17" s="8" t="s">
        <v>39</v>
      </c>
      <c r="C17" s="11">
        <v>2</v>
      </c>
      <c r="D17" s="11"/>
      <c r="E17" s="10"/>
    </row>
    <row r="18" spans="2:5" x14ac:dyDescent="0.25">
      <c r="B18" s="8" t="str">
        <f>'Integration Estimate'!C19</f>
        <v>Static IP Address Allocation</v>
      </c>
      <c r="C18" s="11">
        <v>1</v>
      </c>
      <c r="D18" s="11"/>
      <c r="E18" s="10"/>
    </row>
    <row r="19" spans="2:5" x14ac:dyDescent="0.25">
      <c r="B19" s="8" t="str">
        <f>'Integration Estimate'!C20</f>
        <v>Creation of NLB</v>
      </c>
      <c r="C19" s="11">
        <v>0.5</v>
      </c>
      <c r="D19" s="11"/>
      <c r="E19" s="10"/>
    </row>
    <row r="20" spans="2:5" x14ac:dyDescent="0.25">
      <c r="B20" s="8" t="str">
        <f>'Integration Estimate'!C21</f>
        <v>Firewall configuration</v>
      </c>
      <c r="C20" s="11">
        <v>0.5</v>
      </c>
      <c r="D20" s="11"/>
      <c r="E20" s="10"/>
    </row>
    <row r="21" spans="2:5" x14ac:dyDescent="0.25">
      <c r="B21" s="8"/>
      <c r="C21" s="11"/>
      <c r="D21" s="11"/>
      <c r="E21" s="10"/>
    </row>
    <row r="22" spans="2:5" x14ac:dyDescent="0.25">
      <c r="B22" s="17" t="s">
        <v>4</v>
      </c>
      <c r="C22" s="11"/>
      <c r="D22" s="11"/>
      <c r="E22" s="10"/>
    </row>
    <row r="23" spans="2:5" x14ac:dyDescent="0.25">
      <c r="B23" s="17" t="s">
        <v>76</v>
      </c>
      <c r="C23" s="11"/>
      <c r="D23" s="11"/>
      <c r="E23" s="10"/>
    </row>
    <row r="24" spans="2:5" x14ac:dyDescent="0.25">
      <c r="B24" s="8" t="s">
        <v>190</v>
      </c>
      <c r="C24" s="11">
        <v>2</v>
      </c>
      <c r="D24" s="11"/>
      <c r="E24" s="10"/>
    </row>
    <row r="25" spans="2:5" x14ac:dyDescent="0.25">
      <c r="B25" s="8" t="s">
        <v>191</v>
      </c>
      <c r="C25" s="11">
        <v>0.5</v>
      </c>
      <c r="D25" s="11"/>
      <c r="E25" s="10"/>
    </row>
    <row r="26" spans="2:5" x14ac:dyDescent="0.25">
      <c r="B26" s="8" t="s">
        <v>129</v>
      </c>
      <c r="C26" s="11">
        <v>2</v>
      </c>
      <c r="D26" s="11"/>
      <c r="E26" s="10"/>
    </row>
    <row r="27" spans="2:5" x14ac:dyDescent="0.25">
      <c r="B27" s="8" t="s">
        <v>107</v>
      </c>
      <c r="C27" s="11">
        <v>0.5</v>
      </c>
      <c r="D27" s="11"/>
      <c r="E27" s="10"/>
    </row>
    <row r="28" spans="2:5" x14ac:dyDescent="0.25">
      <c r="B28" s="8" t="s">
        <v>110</v>
      </c>
      <c r="C28" s="11">
        <v>75</v>
      </c>
      <c r="D28" s="11"/>
      <c r="E28" s="10"/>
    </row>
    <row r="29" spans="2:5" x14ac:dyDescent="0.25">
      <c r="B29" s="8" t="s">
        <v>24</v>
      </c>
      <c r="C29" s="11">
        <v>25</v>
      </c>
      <c r="D29" s="11"/>
      <c r="E29" s="10"/>
    </row>
    <row r="30" spans="2:5" x14ac:dyDescent="0.25">
      <c r="B30" s="8" t="s">
        <v>111</v>
      </c>
      <c r="C30" s="11">
        <v>75</v>
      </c>
      <c r="D30" s="11"/>
      <c r="E30" s="10"/>
    </row>
    <row r="31" spans="2:5" x14ac:dyDescent="0.25">
      <c r="B31" s="8" t="s">
        <v>112</v>
      </c>
      <c r="C31" s="11">
        <v>25</v>
      </c>
      <c r="D31" s="11"/>
      <c r="E31" s="10"/>
    </row>
    <row r="32" spans="2:5" x14ac:dyDescent="0.25">
      <c r="B32" s="8"/>
      <c r="C32" s="11"/>
      <c r="D32" s="11"/>
      <c r="E32" s="10"/>
    </row>
    <row r="33" spans="2:5" x14ac:dyDescent="0.25">
      <c r="B33" s="8" t="s">
        <v>10</v>
      </c>
      <c r="C33" s="11">
        <v>20</v>
      </c>
      <c r="D33" s="11"/>
      <c r="E33" s="10"/>
    </row>
    <row r="34" spans="2:5" x14ac:dyDescent="0.25">
      <c r="B34" s="8"/>
      <c r="C34" s="11"/>
      <c r="D34" s="11"/>
      <c r="E34" s="10"/>
    </row>
    <row r="35" spans="2:5" x14ac:dyDescent="0.25">
      <c r="B35" s="17" t="s">
        <v>29</v>
      </c>
      <c r="C35" s="11"/>
      <c r="D35" s="11"/>
      <c r="E35" s="10"/>
    </row>
    <row r="36" spans="2:5" x14ac:dyDescent="0.25">
      <c r="B36" s="8" t="s">
        <v>90</v>
      </c>
      <c r="C36" s="11">
        <v>5</v>
      </c>
      <c r="D36" s="11"/>
      <c r="E36" s="10"/>
    </row>
    <row r="37" spans="2:5" x14ac:dyDescent="0.25">
      <c r="B37" s="8" t="s">
        <v>91</v>
      </c>
      <c r="C37" s="11">
        <v>10</v>
      </c>
      <c r="D37" s="11"/>
      <c r="E37" s="10"/>
    </row>
    <row r="38" spans="2:5" x14ac:dyDescent="0.25">
      <c r="B38" s="8" t="s">
        <v>92</v>
      </c>
      <c r="C38" s="11">
        <v>15</v>
      </c>
      <c r="D38" s="11"/>
      <c r="E38" s="10"/>
    </row>
    <row r="39" spans="2:5" x14ac:dyDescent="0.25">
      <c r="B39" s="8" t="s">
        <v>93</v>
      </c>
      <c r="C39" s="11">
        <v>5</v>
      </c>
      <c r="D39" s="11"/>
      <c r="E39" s="10"/>
    </row>
    <row r="40" spans="2:5" x14ac:dyDescent="0.25">
      <c r="B40" s="8"/>
      <c r="C40" s="11"/>
      <c r="D40" s="11"/>
      <c r="E40" s="10"/>
    </row>
    <row r="41" spans="2:5" x14ac:dyDescent="0.25">
      <c r="B41" s="17" t="s">
        <v>30</v>
      </c>
      <c r="C41" s="11"/>
      <c r="D41" s="11"/>
      <c r="E41" s="10"/>
    </row>
    <row r="42" spans="2:5" x14ac:dyDescent="0.25">
      <c r="B42" s="8" t="s">
        <v>192</v>
      </c>
      <c r="C42" s="11">
        <v>3.5</v>
      </c>
      <c r="D42" s="11"/>
      <c r="E42" s="10"/>
    </row>
    <row r="43" spans="2:5" x14ac:dyDescent="0.25">
      <c r="B43" s="8" t="s">
        <v>95</v>
      </c>
      <c r="C43" s="11">
        <v>7</v>
      </c>
      <c r="D43" s="11"/>
      <c r="E43" s="10"/>
    </row>
    <row r="44" spans="2:5" x14ac:dyDescent="0.25">
      <c r="B44" s="8" t="s">
        <v>96</v>
      </c>
      <c r="C44" s="11">
        <v>10.5</v>
      </c>
      <c r="D44" s="11"/>
      <c r="E44" s="10"/>
    </row>
    <row r="45" spans="2:5" x14ac:dyDescent="0.25">
      <c r="B45" s="8" t="s">
        <v>113</v>
      </c>
      <c r="C45" s="11">
        <v>5</v>
      </c>
      <c r="D45" s="11"/>
      <c r="E45" s="10"/>
    </row>
    <row r="46" spans="2:5" x14ac:dyDescent="0.25">
      <c r="B46" s="8"/>
      <c r="C46" s="11"/>
      <c r="D46" s="11"/>
      <c r="E46" s="10"/>
    </row>
    <row r="47" spans="2:5" x14ac:dyDescent="0.25">
      <c r="B47" s="17" t="s">
        <v>34</v>
      </c>
      <c r="C47" s="11"/>
      <c r="D47" s="11"/>
      <c r="E47" s="10"/>
    </row>
    <row r="48" spans="2:5" x14ac:dyDescent="0.25">
      <c r="B48" s="8" t="s">
        <v>97</v>
      </c>
      <c r="C48" s="11">
        <v>5</v>
      </c>
      <c r="D48" s="11"/>
      <c r="E48" s="10"/>
    </row>
    <row r="49" spans="2:5" x14ac:dyDescent="0.25">
      <c r="B49" s="8" t="s">
        <v>98</v>
      </c>
      <c r="C49" s="11">
        <v>10</v>
      </c>
      <c r="D49" s="11"/>
      <c r="E49" s="10"/>
    </row>
    <row r="50" spans="2:5" x14ac:dyDescent="0.25">
      <c r="B50" s="8" t="s">
        <v>99</v>
      </c>
      <c r="C50" s="11">
        <v>15</v>
      </c>
      <c r="D50" s="11"/>
      <c r="E50" s="10"/>
    </row>
    <row r="51" spans="2:5" x14ac:dyDescent="0.25">
      <c r="B51" s="8" t="s">
        <v>114</v>
      </c>
      <c r="C51" s="11">
        <v>7</v>
      </c>
      <c r="D51" s="11"/>
      <c r="E51" s="10"/>
    </row>
    <row r="52" spans="2:5" x14ac:dyDescent="0.25">
      <c r="B52" s="8"/>
      <c r="C52" s="11"/>
      <c r="D52" s="11"/>
      <c r="E52" s="10"/>
    </row>
    <row r="53" spans="2:5" x14ac:dyDescent="0.25">
      <c r="B53" s="17" t="s">
        <v>100</v>
      </c>
      <c r="C53" s="11"/>
      <c r="D53" s="11"/>
      <c r="E53" s="10"/>
    </row>
    <row r="54" spans="2:5" x14ac:dyDescent="0.25">
      <c r="B54" s="8" t="s">
        <v>101</v>
      </c>
      <c r="C54" s="11">
        <v>5</v>
      </c>
      <c r="D54" s="11"/>
      <c r="E54" s="10"/>
    </row>
    <row r="55" spans="2:5" x14ac:dyDescent="0.25">
      <c r="B55" s="8" t="s">
        <v>102</v>
      </c>
      <c r="C55" s="11">
        <v>10</v>
      </c>
      <c r="D55" s="11"/>
      <c r="E55" s="10"/>
    </row>
    <row r="56" spans="2:5" x14ac:dyDescent="0.25">
      <c r="B56" s="8" t="s">
        <v>103</v>
      </c>
      <c r="C56" s="11">
        <v>15</v>
      </c>
      <c r="D56" s="11"/>
      <c r="E56" s="10"/>
    </row>
    <row r="57" spans="2:5" x14ac:dyDescent="0.25">
      <c r="B57" s="8"/>
      <c r="C57" s="11"/>
      <c r="D57" s="11"/>
      <c r="E57" s="10"/>
    </row>
    <row r="58" spans="2:5" x14ac:dyDescent="0.25">
      <c r="B58" s="17" t="s">
        <v>25</v>
      </c>
      <c r="C58" s="11"/>
      <c r="D58" s="11"/>
      <c r="E58" s="10"/>
    </row>
    <row r="59" spans="2:5" x14ac:dyDescent="0.25">
      <c r="B59" s="8" t="s">
        <v>54</v>
      </c>
      <c r="C59" s="11">
        <v>10</v>
      </c>
      <c r="D59" s="11"/>
      <c r="E59" s="10"/>
    </row>
    <row r="60" spans="2:5" x14ac:dyDescent="0.25">
      <c r="B60" s="8" t="s">
        <v>55</v>
      </c>
      <c r="C60" s="11">
        <v>5</v>
      </c>
      <c r="D60" s="11"/>
      <c r="E60" s="10"/>
    </row>
    <row r="61" spans="2:5" x14ac:dyDescent="0.25">
      <c r="B61" s="8" t="s">
        <v>56</v>
      </c>
      <c r="C61" s="11">
        <v>2</v>
      </c>
      <c r="D61" s="11"/>
      <c r="E61" s="10"/>
    </row>
    <row r="62" spans="2:5" x14ac:dyDescent="0.25">
      <c r="B62" s="8"/>
      <c r="C62" s="11"/>
      <c r="D62" s="11"/>
      <c r="E62" s="10"/>
    </row>
    <row r="63" spans="2:5" x14ac:dyDescent="0.25">
      <c r="B63" s="17" t="s">
        <v>33</v>
      </c>
      <c r="C63" s="11"/>
      <c r="D63" s="11"/>
      <c r="E63" s="10"/>
    </row>
    <row r="64" spans="2:5" x14ac:dyDescent="0.25">
      <c r="B64" s="8" t="s">
        <v>60</v>
      </c>
      <c r="C64" s="11">
        <v>20</v>
      </c>
      <c r="D64" s="11"/>
      <c r="E64" s="10"/>
    </row>
    <row r="65" spans="2:5" x14ac:dyDescent="0.25">
      <c r="B65" s="8" t="s">
        <v>61</v>
      </c>
      <c r="C65" s="11">
        <v>10</v>
      </c>
      <c r="D65" s="11"/>
      <c r="E65" s="10"/>
    </row>
    <row r="66" spans="2:5" x14ac:dyDescent="0.25">
      <c r="B66" s="8"/>
      <c r="C66" s="11"/>
      <c r="D66" s="11"/>
      <c r="E66" s="10"/>
    </row>
    <row r="67" spans="2:5" x14ac:dyDescent="0.25">
      <c r="B67" s="8" t="s">
        <v>88</v>
      </c>
      <c r="C67" s="11"/>
      <c r="D67" s="11"/>
      <c r="E67" s="10"/>
    </row>
    <row r="68" spans="2:5" x14ac:dyDescent="0.25">
      <c r="B68" s="8" t="s">
        <v>89</v>
      </c>
      <c r="C68" s="11">
        <v>20</v>
      </c>
      <c r="D68" s="11"/>
      <c r="E68" s="10"/>
    </row>
    <row r="69" spans="2:5" x14ac:dyDescent="0.25">
      <c r="B69" s="8"/>
      <c r="C69" s="11"/>
      <c r="D69" s="11"/>
      <c r="E69" s="10"/>
    </row>
    <row r="70" spans="2:5" x14ac:dyDescent="0.25">
      <c r="B70" s="8" t="s">
        <v>127</v>
      </c>
      <c r="C70" s="11">
        <v>35</v>
      </c>
      <c r="D70" s="11"/>
      <c r="E70" s="10"/>
    </row>
    <row r="71" spans="2:5" x14ac:dyDescent="0.25">
      <c r="B71" s="13" t="s">
        <v>254</v>
      </c>
      <c r="C71" s="14">
        <v>3</v>
      </c>
      <c r="D71" s="14"/>
      <c r="E71" s="15"/>
    </row>
  </sheetData>
  <mergeCells count="1">
    <mergeCell ref="J2:L2"/>
  </mergeCells>
  <pageMargins left="0.7" right="0.7" top="0.75" bottom="0.75" header="0.3" footer="0.3"/>
  <pageSetup paperSize="9" orientation="portrait" r:id="rId1"/>
  <headerFooter>
    <oddHeader>&amp;C&amp;"Calibri"&amp;11&amp;K000000OFFICIAL&amp;1#</oddHeader>
    <oddFooter>&amp;C&amp;1#&amp;"Calibri"&amp;9&amp;K000000OFFICIAL</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E60A2-839D-4AA8-A9E8-678A7101DCBF}">
  <sheetPr codeName="Sheet6"/>
  <dimension ref="B2:K94"/>
  <sheetViews>
    <sheetView showGridLines="0" topLeftCell="A34" zoomScale="85" zoomScaleNormal="85" workbookViewId="0">
      <selection activeCell="E47" sqref="E47"/>
    </sheetView>
  </sheetViews>
  <sheetFormatPr defaultRowHeight="15" x14ac:dyDescent="0.25"/>
  <cols>
    <col min="3" max="3" width="78.28515625" bestFit="1" customWidth="1"/>
    <col min="4" max="5" width="5.7109375" customWidth="1"/>
    <col min="6" max="6" width="4.5703125" bestFit="1" customWidth="1"/>
    <col min="8" max="8" width="9.42578125" customWidth="1"/>
    <col min="9" max="9" width="8.85546875" customWidth="1"/>
    <col min="11" max="11" width="13.140625" customWidth="1"/>
  </cols>
  <sheetData>
    <row r="2" spans="2:11" ht="33.75" x14ac:dyDescent="0.5">
      <c r="B2" s="5"/>
      <c r="C2" s="21" t="s">
        <v>71</v>
      </c>
      <c r="D2" s="91" t="s">
        <v>153</v>
      </c>
      <c r="E2" s="92"/>
      <c r="F2" s="92"/>
      <c r="G2" s="93"/>
      <c r="H2" s="102" t="s">
        <v>154</v>
      </c>
      <c r="I2" s="103"/>
      <c r="J2" s="103"/>
      <c r="K2" s="88"/>
    </row>
    <row r="3" spans="2:11" x14ac:dyDescent="0.25">
      <c r="B3" s="8"/>
      <c r="C3" s="11"/>
      <c r="D3" s="94"/>
      <c r="E3" s="95"/>
      <c r="F3" s="95"/>
      <c r="G3" s="96"/>
      <c r="H3" s="104"/>
      <c r="I3" s="105"/>
      <c r="J3" s="105"/>
      <c r="K3" s="90"/>
    </row>
    <row r="4" spans="2:11" ht="45" x14ac:dyDescent="0.25">
      <c r="B4" s="8"/>
      <c r="C4" s="12" t="s">
        <v>72</v>
      </c>
      <c r="D4" s="11"/>
      <c r="E4" s="11"/>
      <c r="F4" s="11"/>
      <c r="G4" s="10"/>
      <c r="H4" s="106"/>
      <c r="I4" s="107"/>
      <c r="J4" s="107"/>
      <c r="K4" s="88"/>
    </row>
    <row r="5" spans="2:11" x14ac:dyDescent="0.25">
      <c r="B5" s="8"/>
      <c r="C5" s="11"/>
      <c r="D5" s="11"/>
      <c r="E5" s="11"/>
      <c r="F5" s="11"/>
      <c r="G5" s="10"/>
      <c r="H5" s="108"/>
      <c r="I5" s="109"/>
      <c r="J5" s="109"/>
      <c r="K5" s="110"/>
    </row>
    <row r="6" spans="2:11" ht="100.5" x14ac:dyDescent="0.25">
      <c r="B6" s="8"/>
      <c r="C6" s="11"/>
      <c r="D6" s="27" t="s">
        <v>27</v>
      </c>
      <c r="E6" s="27" t="s">
        <v>11</v>
      </c>
      <c r="F6" s="27" t="s">
        <v>12</v>
      </c>
      <c r="G6" s="23"/>
      <c r="H6" s="108"/>
      <c r="I6" s="109"/>
      <c r="J6" s="109"/>
      <c r="K6" s="110"/>
    </row>
    <row r="7" spans="2:11" ht="21" x14ac:dyDescent="0.35">
      <c r="B7" s="8"/>
      <c r="C7" s="24" t="str">
        <f>Questionnaire!B4</f>
        <v>Pre Project Phase</v>
      </c>
      <c r="D7" s="11"/>
      <c r="E7" s="11"/>
      <c r="F7" s="11"/>
      <c r="G7" s="10"/>
      <c r="H7" s="108"/>
      <c r="I7" s="109"/>
      <c r="J7" s="109"/>
      <c r="K7" s="110"/>
    </row>
    <row r="8" spans="2:11" x14ac:dyDescent="0.25">
      <c r="B8" s="8"/>
      <c r="C8" s="11"/>
      <c r="D8" s="11"/>
      <c r="E8" s="11"/>
      <c r="F8" s="11"/>
      <c r="G8" s="10"/>
      <c r="H8" s="108"/>
      <c r="I8" s="109"/>
      <c r="J8" s="109"/>
      <c r="K8" s="110"/>
    </row>
    <row r="9" spans="2:11" x14ac:dyDescent="0.25">
      <c r="B9" s="8"/>
      <c r="C9" s="11" t="s">
        <v>52</v>
      </c>
      <c r="D9" s="31">
        <f>IF(Questionnaire!C6="No",0,IF(Questionnaire!C7="Small",Variables!C5,IF(Questionnaire!C7="Large",Variables!C7,IF(Questionnaire!C7="Medium",Variables!C6))))</f>
        <v>0</v>
      </c>
      <c r="E9" s="31">
        <f>D9*Variables!C8%</f>
        <v>0</v>
      </c>
      <c r="F9" s="31">
        <f>D9*Variables!C9%</f>
        <v>0</v>
      </c>
      <c r="G9" s="10"/>
      <c r="H9" s="108"/>
      <c r="I9" s="109"/>
      <c r="J9" s="109"/>
      <c r="K9" s="110"/>
    </row>
    <row r="10" spans="2:11" x14ac:dyDescent="0.25">
      <c r="B10" s="8"/>
      <c r="C10" s="11"/>
      <c r="D10" s="11"/>
      <c r="E10" s="11"/>
      <c r="F10" s="11"/>
      <c r="G10" s="10"/>
      <c r="H10" s="108"/>
      <c r="I10" s="109"/>
      <c r="J10" s="109"/>
      <c r="K10" s="110"/>
    </row>
    <row r="11" spans="2:11" ht="15.75" thickBot="1" x14ac:dyDescent="0.3">
      <c r="B11" s="8"/>
      <c r="C11" s="28" t="s">
        <v>16</v>
      </c>
      <c r="D11" s="31">
        <f>SUM(D9:D10)</f>
        <v>0</v>
      </c>
      <c r="E11" s="31">
        <f>SUM(E9:E10)</f>
        <v>0</v>
      </c>
      <c r="F11" s="31">
        <f>SUM(F9:F10)</f>
        <v>0</v>
      </c>
      <c r="G11" s="10"/>
      <c r="H11" s="108"/>
      <c r="I11" s="109"/>
      <c r="J11" s="109"/>
      <c r="K11" s="110"/>
    </row>
    <row r="12" spans="2:11" x14ac:dyDescent="0.25">
      <c r="B12" s="8"/>
      <c r="C12" s="11"/>
      <c r="D12" s="11"/>
      <c r="E12" s="11"/>
      <c r="F12" s="11"/>
      <c r="G12" s="10"/>
      <c r="H12" s="108"/>
      <c r="I12" s="109"/>
      <c r="J12" s="109"/>
      <c r="K12" s="110"/>
    </row>
    <row r="13" spans="2:11" ht="21" x14ac:dyDescent="0.35">
      <c r="B13" s="8"/>
      <c r="C13" s="24" t="s">
        <v>14</v>
      </c>
      <c r="D13" s="11"/>
      <c r="E13" s="11"/>
      <c r="F13" s="11"/>
      <c r="G13" s="10"/>
      <c r="H13" s="108"/>
      <c r="I13" s="109"/>
      <c r="J13" s="109"/>
      <c r="K13" s="110"/>
    </row>
    <row r="14" spans="2:11" x14ac:dyDescent="0.25">
      <c r="B14" s="8"/>
      <c r="C14" s="11"/>
      <c r="D14" s="11"/>
      <c r="E14" s="11"/>
      <c r="F14" s="11"/>
      <c r="G14" s="10"/>
      <c r="H14" s="108"/>
      <c r="I14" s="109"/>
      <c r="J14" s="109"/>
      <c r="K14" s="110"/>
    </row>
    <row r="15" spans="2:11" x14ac:dyDescent="0.25">
      <c r="B15" s="8"/>
      <c r="C15" s="11" t="s">
        <v>36</v>
      </c>
      <c r="D15" s="32">
        <f>IF(Questionnaire!C11="Yes",Variables!C14,0)*Variables!$C$13%</f>
        <v>0</v>
      </c>
      <c r="E15" s="32">
        <f>IF(Questionnaire!C11="Yes",Variables!C14,0)*Variables!$C$12%</f>
        <v>0</v>
      </c>
      <c r="F15" s="32">
        <f t="shared" ref="F15:F21" si="0">D15+E15*20%</f>
        <v>0</v>
      </c>
      <c r="G15" s="10"/>
      <c r="H15" s="108"/>
      <c r="I15" s="109"/>
      <c r="J15" s="109"/>
      <c r="K15" s="110"/>
    </row>
    <row r="16" spans="2:11" x14ac:dyDescent="0.25">
      <c r="B16" s="8"/>
      <c r="C16" s="11" t="s">
        <v>37</v>
      </c>
      <c r="D16" s="31">
        <f>IF(Questionnaire!C12="Yes",Variables!C15,0)*Variables!$C$13%</f>
        <v>0</v>
      </c>
      <c r="E16" s="31">
        <f>IF(Questionnaire!C12="Yes",Variables!C15,0)*Variables!$C$12%</f>
        <v>0</v>
      </c>
      <c r="F16" s="31">
        <f t="shared" si="0"/>
        <v>0</v>
      </c>
      <c r="G16" s="10"/>
      <c r="H16" s="108"/>
      <c r="I16" s="109"/>
      <c r="J16" s="109"/>
      <c r="K16" s="110"/>
    </row>
    <row r="17" spans="2:11" x14ac:dyDescent="0.25">
      <c r="B17" s="8"/>
      <c r="C17" s="11" t="s">
        <v>38</v>
      </c>
      <c r="D17" s="31">
        <f>IF(Questionnaire!C13="Yes",Variables!C16,0)*Variables!$C$13%</f>
        <v>0</v>
      </c>
      <c r="E17" s="31">
        <f>IF(Questionnaire!C13="Yes",Variables!C16,0)*Variables!$C$12%</f>
        <v>0</v>
      </c>
      <c r="F17" s="31">
        <f t="shared" si="0"/>
        <v>0</v>
      </c>
      <c r="G17" s="10"/>
      <c r="H17" s="108"/>
      <c r="I17" s="109"/>
      <c r="J17" s="109"/>
      <c r="K17" s="110"/>
    </row>
    <row r="18" spans="2:11" x14ac:dyDescent="0.25">
      <c r="B18" s="8"/>
      <c r="C18" s="11" t="s">
        <v>39</v>
      </c>
      <c r="D18" s="31">
        <f>IF(Questionnaire!C14="Yes",Variables!C17,0)*Variables!$C$13%</f>
        <v>0</v>
      </c>
      <c r="E18" s="31">
        <f>IF(Questionnaire!C14="Yes",Variables!C17,0)*Variables!$C$12%</f>
        <v>0</v>
      </c>
      <c r="F18" s="31">
        <f t="shared" si="0"/>
        <v>0</v>
      </c>
      <c r="G18" s="10"/>
      <c r="H18" s="108"/>
      <c r="I18" s="109"/>
      <c r="J18" s="109"/>
      <c r="K18" s="110"/>
    </row>
    <row r="19" spans="2:11" x14ac:dyDescent="0.25">
      <c r="B19" s="8"/>
      <c r="C19" s="11" t="s">
        <v>15</v>
      </c>
      <c r="D19" s="31">
        <f>IF(Questionnaire!C15="Yes",Variables!C18,0)*Variables!$C$13%</f>
        <v>0</v>
      </c>
      <c r="E19" s="31">
        <f>IF(Questionnaire!C15="Yes",Variables!C18,0)*Variables!$C$12%</f>
        <v>0</v>
      </c>
      <c r="F19" s="31">
        <f t="shared" si="0"/>
        <v>0</v>
      </c>
      <c r="G19" s="10"/>
      <c r="H19" s="108"/>
      <c r="I19" s="109"/>
      <c r="J19" s="109"/>
      <c r="K19" s="110"/>
    </row>
    <row r="20" spans="2:11" x14ac:dyDescent="0.25">
      <c r="B20" s="8"/>
      <c r="C20" s="11" t="s">
        <v>20</v>
      </c>
      <c r="D20" s="31">
        <f>IF(Questionnaire!C16="Yes",Variables!C19,0)*Variables!$C$13%</f>
        <v>0</v>
      </c>
      <c r="E20" s="31">
        <f>IF(Questionnaire!C16="Yes",Variables!C19,0)*Variables!$C$12%</f>
        <v>0</v>
      </c>
      <c r="F20" s="31">
        <f t="shared" si="0"/>
        <v>0</v>
      </c>
      <c r="G20" s="10"/>
      <c r="H20" s="108"/>
      <c r="I20" s="109"/>
      <c r="J20" s="109"/>
      <c r="K20" s="110"/>
    </row>
    <row r="21" spans="2:11" x14ac:dyDescent="0.25">
      <c r="B21" s="8"/>
      <c r="C21" s="11" t="s">
        <v>22</v>
      </c>
      <c r="D21" s="31">
        <f>IF(Questionnaire!C17="Yes",Variables!C20,0)*Variables!$C$13%</f>
        <v>0</v>
      </c>
      <c r="E21" s="31">
        <f>IF(Questionnaire!C17="Yes",Variables!C20,0)*Variables!$C$12%</f>
        <v>0</v>
      </c>
      <c r="F21" s="31">
        <f t="shared" si="0"/>
        <v>0</v>
      </c>
      <c r="G21" s="10"/>
      <c r="H21" s="108"/>
      <c r="I21" s="109"/>
      <c r="J21" s="109"/>
      <c r="K21" s="110"/>
    </row>
    <row r="22" spans="2:11" x14ac:dyDescent="0.25">
      <c r="B22" s="8"/>
      <c r="C22" s="11"/>
      <c r="D22" s="25"/>
      <c r="E22" s="25"/>
      <c r="F22" s="11"/>
      <c r="G22" s="10"/>
      <c r="H22" s="108"/>
      <c r="I22" s="109"/>
      <c r="J22" s="109"/>
      <c r="K22" s="110"/>
    </row>
    <row r="23" spans="2:11" ht="15.75" thickBot="1" x14ac:dyDescent="0.3">
      <c r="B23" s="8"/>
      <c r="C23" s="28" t="s">
        <v>23</v>
      </c>
      <c r="D23" s="31">
        <f>IF(Questionnaire!C34="No",SUM(D15:D22),SUM(D15:D22) )</f>
        <v>0</v>
      </c>
      <c r="E23" s="31">
        <f>IF(Questionnaire!C34="No",SUM(E15:E22),SUM(E15:E22) )</f>
        <v>0</v>
      </c>
      <c r="F23" s="31">
        <f>IF(Questionnaire!C34="No",SUM(F15:F22),SUM(F15:F22) )</f>
        <v>0</v>
      </c>
      <c r="G23" s="10"/>
      <c r="H23" s="108"/>
      <c r="I23" s="109"/>
      <c r="J23" s="109"/>
      <c r="K23" s="110"/>
    </row>
    <row r="24" spans="2:11" x14ac:dyDescent="0.25">
      <c r="B24" s="8"/>
      <c r="C24" s="11"/>
      <c r="D24" s="11"/>
      <c r="E24" s="11"/>
      <c r="F24" s="11"/>
      <c r="G24" s="10"/>
      <c r="H24" s="108"/>
      <c r="I24" s="109"/>
      <c r="J24" s="109"/>
      <c r="K24" s="110"/>
    </row>
    <row r="25" spans="2:11" s="1" customFormat="1" x14ac:dyDescent="0.25">
      <c r="B25" s="17"/>
      <c r="C25" s="9" t="s">
        <v>77</v>
      </c>
      <c r="D25" s="9"/>
      <c r="E25" s="9"/>
      <c r="F25" s="9"/>
      <c r="G25" s="26"/>
      <c r="H25" s="108"/>
      <c r="I25" s="109"/>
      <c r="J25" s="109"/>
      <c r="K25" s="110"/>
    </row>
    <row r="26" spans="2:11" s="1" customFormat="1" x14ac:dyDescent="0.25">
      <c r="B26" s="17"/>
      <c r="C26" s="9"/>
      <c r="D26" s="9"/>
      <c r="E26" s="9"/>
      <c r="F26" s="9"/>
      <c r="G26" s="26"/>
      <c r="H26" s="108"/>
      <c r="I26" s="109"/>
      <c r="J26" s="109"/>
      <c r="K26" s="110"/>
    </row>
    <row r="27" spans="2:11" s="1" customFormat="1" x14ac:dyDescent="0.25">
      <c r="B27" s="17"/>
      <c r="C27" s="11" t="s">
        <v>132</v>
      </c>
      <c r="D27" s="31">
        <f>ROUND(IF(Questionnaire!C23="Yes",(Questionnaire!C25*Variables!C24*Variables!C29%)+(Questionnaire!C28*Variables!C25*Variables!C29%),0)
+IF(Questionnaire!C23="No",(Questionnaire!C28*Variables!C25*Variables!C29%),0),1)</f>
        <v>0.5</v>
      </c>
      <c r="E27" s="31">
        <f>IF(Questionnaire!C23="Yes",(Questionnaire!C25*Variables!C24*Variables!C28%)+(Questionnaire!C28*Variables!C25*Variables!C28%),0)
+IF(Questionnaire!C23="No",(Questionnaire!C28*Variables!C25),0)</f>
        <v>1.5</v>
      </c>
      <c r="F27" s="31">
        <v>0</v>
      </c>
      <c r="G27" s="26"/>
      <c r="H27" s="108"/>
      <c r="I27" s="109"/>
      <c r="J27" s="109"/>
      <c r="K27" s="110"/>
    </row>
    <row r="28" spans="2:11" x14ac:dyDescent="0.25">
      <c r="B28" s="8"/>
      <c r="C28" s="11" t="s">
        <v>130</v>
      </c>
      <c r="D28" s="31">
        <f>ROUND(IF(Questionnaire!C24="Yes",(Questionnaire!C26*Variables!C26*Variables!C29%)+(Questionnaire!C29*Variables!C27*Variables!C29%),0)
+IF(Questionnaire!C24="No",(Questionnaire!C29*Variables!C27*Variables!C29%),0),1)</f>
        <v>0.5</v>
      </c>
      <c r="E28" s="31">
        <f>IF(Questionnaire!C24="Yes",(Questionnaire!C26*Variables!C26*Variables!C28%)+(Questionnaire!C29*Variables!C27*Variables!C28%),0
+IF(Questionnaire!C24="No",(Questionnaire!C29*Variables!C27),0))</f>
        <v>1.5</v>
      </c>
      <c r="F28" s="31">
        <v>0</v>
      </c>
      <c r="G28" s="10"/>
      <c r="H28" s="108"/>
      <c r="I28" s="109"/>
      <c r="J28" s="109"/>
      <c r="K28" s="110"/>
    </row>
    <row r="29" spans="2:11" x14ac:dyDescent="0.25">
      <c r="B29" s="8"/>
      <c r="C29" s="11" t="s">
        <v>108</v>
      </c>
      <c r="D29" s="31">
        <f>IF(Questionnaire!C23="No",0,Questionnaire!C25*Variables!C25) * Variables!C29%</f>
        <v>0.125</v>
      </c>
      <c r="E29" s="31">
        <f>IF(Questionnaire!C23="No",0,Questionnaire!C25*Variables!C25) * Variables!C28%</f>
        <v>0.375</v>
      </c>
      <c r="F29" s="31">
        <v>0</v>
      </c>
      <c r="G29" s="10"/>
      <c r="H29" s="108"/>
      <c r="I29" s="109"/>
      <c r="J29" s="109"/>
      <c r="K29" s="110"/>
    </row>
    <row r="30" spans="2:11" x14ac:dyDescent="0.25">
      <c r="B30" s="8"/>
      <c r="C30" s="11" t="s">
        <v>109</v>
      </c>
      <c r="D30" s="31">
        <f>IF(Questionnaire!C24="No",0,Questionnaire!C25*Variables!C27) * Variables!C31%</f>
        <v>0.125</v>
      </c>
      <c r="E30" s="31">
        <f>IF(Questionnaire!C24="No",0,Questionnaire!C26*Variables!C27) * Variables!C28%</f>
        <v>0.375</v>
      </c>
      <c r="F30" s="31">
        <v>0</v>
      </c>
      <c r="G30" s="10"/>
      <c r="H30" s="108"/>
      <c r="I30" s="109"/>
      <c r="J30" s="109"/>
      <c r="K30" s="110"/>
    </row>
    <row r="31" spans="2:11" x14ac:dyDescent="0.25">
      <c r="B31" s="8"/>
      <c r="C31" s="11" t="s">
        <v>117</v>
      </c>
      <c r="D31" s="31">
        <f>((Questionnaire!C27*Variables!C27 * Variables!C29%)+(Questionnaire!C27*Variables!C27*0.5*Variables!C29%))</f>
        <v>0</v>
      </c>
      <c r="E31" s="31">
        <f>((Questionnaire!C27*Variables!C27 * Variables!C28%)+(Questionnaire!C27*Variables!C27*0.5*Variables!C28%))</f>
        <v>0</v>
      </c>
      <c r="F31" s="31">
        <v>0</v>
      </c>
      <c r="G31" s="10"/>
      <c r="H31" s="108"/>
      <c r="I31" s="109"/>
      <c r="J31" s="109"/>
      <c r="K31" s="110"/>
    </row>
    <row r="32" spans="2:11" ht="15.75" thickBot="1" x14ac:dyDescent="0.3">
      <c r="B32" s="8"/>
      <c r="C32" s="28" t="s">
        <v>63</v>
      </c>
      <c r="D32" s="30">
        <f>ROUND(SUM(D27:D31),1)</f>
        <v>1.3</v>
      </c>
      <c r="E32" s="30">
        <f>SUM(E27:E31)</f>
        <v>3.75</v>
      </c>
      <c r="F32" s="30">
        <f>SUM(F27:F31)</f>
        <v>0</v>
      </c>
      <c r="G32" s="10"/>
      <c r="H32" s="111"/>
      <c r="I32" s="89"/>
      <c r="J32" s="89"/>
      <c r="K32" s="90"/>
    </row>
    <row r="33" spans="2:11" ht="36" customHeight="1" x14ac:dyDescent="0.25">
      <c r="B33" s="8"/>
      <c r="C33" s="11"/>
      <c r="D33" s="25"/>
      <c r="E33" s="11"/>
      <c r="F33" s="11"/>
      <c r="G33" s="10"/>
      <c r="H33" s="112" t="s">
        <v>247</v>
      </c>
      <c r="I33" s="113"/>
      <c r="J33" s="70" t="s">
        <v>248</v>
      </c>
      <c r="K33" s="71"/>
    </row>
    <row r="34" spans="2:11" ht="21.75" thickBot="1" x14ac:dyDescent="0.4">
      <c r="B34" s="8"/>
      <c r="C34" s="24" t="s">
        <v>28</v>
      </c>
      <c r="D34" s="11"/>
      <c r="E34" s="11"/>
      <c r="F34" s="11"/>
      <c r="G34" s="10"/>
      <c r="H34" s="53" t="s">
        <v>193</v>
      </c>
      <c r="I34" s="54" t="s">
        <v>194</v>
      </c>
      <c r="J34" s="54" t="s">
        <v>193</v>
      </c>
      <c r="K34" s="55" t="s">
        <v>194</v>
      </c>
    </row>
    <row r="35" spans="2:11" x14ac:dyDescent="0.25">
      <c r="B35" s="8"/>
      <c r="C35" s="11"/>
      <c r="D35" s="11"/>
      <c r="E35" s="11"/>
      <c r="F35" s="11"/>
      <c r="G35" s="10"/>
      <c r="H35" s="56"/>
      <c r="I35" s="36"/>
      <c r="J35" s="57"/>
      <c r="K35" s="57"/>
    </row>
    <row r="36" spans="2:11" x14ac:dyDescent="0.25">
      <c r="B36" s="8"/>
      <c r="C36" s="9" t="s">
        <v>3</v>
      </c>
      <c r="D36" s="11"/>
      <c r="E36" s="11"/>
      <c r="F36" s="11"/>
      <c r="G36" s="10"/>
      <c r="H36" s="58"/>
      <c r="I36" s="36"/>
      <c r="J36" s="57"/>
      <c r="K36" s="57"/>
    </row>
    <row r="37" spans="2:11" x14ac:dyDescent="0.25">
      <c r="B37" s="8"/>
      <c r="C37" s="33" t="s">
        <v>94</v>
      </c>
      <c r="D37" s="31">
        <v>0</v>
      </c>
      <c r="E37" s="31">
        <f>(Questionnaire!C35*Variables!C36) +(Questionnaire!C36*Variables!C37) +(Questionnaire!C37*Variables!C38)+(Questionnaire!C38*Variables!C36*0.5) +(Questionnaire!C39*Variables!C37*0.5) +(Questionnaire!C40*Variables!C38*0.5)+(Questionnaire!C42*Variables!C71)</f>
        <v>8</v>
      </c>
      <c r="F37" s="31">
        <v>0</v>
      </c>
      <c r="G37" s="10"/>
      <c r="H37" s="37">
        <f>Questionnaire!C41*Questionnaire!C34</f>
        <v>5</v>
      </c>
      <c r="I37" s="37">
        <f>Questionnaire!C34</f>
        <v>1</v>
      </c>
      <c r="J37" s="37">
        <f>(Questionnaire!C41*0.1+0.1)*Questionnaire!C34</f>
        <v>0.6</v>
      </c>
      <c r="K37" s="37">
        <f>(Questionnaire!C34)*0.2</f>
        <v>0.2</v>
      </c>
    </row>
    <row r="38" spans="2:11" x14ac:dyDescent="0.25">
      <c r="B38" s="8"/>
      <c r="C38" s="11"/>
      <c r="D38" s="11"/>
      <c r="E38" s="11"/>
      <c r="F38" s="11"/>
      <c r="G38" s="10"/>
      <c r="H38" s="59"/>
      <c r="I38" s="60"/>
      <c r="J38" s="57"/>
      <c r="K38" s="57"/>
    </row>
    <row r="39" spans="2:11" ht="15.75" thickBot="1" x14ac:dyDescent="0.3">
      <c r="B39" s="8"/>
      <c r="C39" s="28" t="s">
        <v>31</v>
      </c>
      <c r="D39" s="31">
        <f>SUM(D37:D38)</f>
        <v>0</v>
      </c>
      <c r="E39" s="31">
        <f>SUM(E37:E38)</f>
        <v>8</v>
      </c>
      <c r="F39" s="31">
        <f>SUM(F37:F38)</f>
        <v>0</v>
      </c>
      <c r="G39" s="10"/>
      <c r="H39" s="56"/>
      <c r="I39" s="46"/>
      <c r="J39" s="57"/>
      <c r="K39" s="57"/>
    </row>
    <row r="40" spans="2:11" x14ac:dyDescent="0.25">
      <c r="B40" s="8"/>
      <c r="C40" s="11"/>
      <c r="D40" s="11"/>
      <c r="E40" s="11"/>
      <c r="F40" s="11"/>
      <c r="G40" s="10"/>
      <c r="H40" s="56"/>
      <c r="I40" s="46"/>
      <c r="J40" s="57"/>
      <c r="K40" s="57"/>
    </row>
    <row r="41" spans="2:11" x14ac:dyDescent="0.25">
      <c r="B41" s="8"/>
      <c r="C41" s="9" t="s">
        <v>0</v>
      </c>
      <c r="D41" s="11"/>
      <c r="E41" s="11"/>
      <c r="F41" s="11"/>
      <c r="G41" s="10"/>
      <c r="H41" s="58"/>
      <c r="I41" s="48"/>
      <c r="J41" s="57"/>
      <c r="K41" s="57"/>
    </row>
    <row r="42" spans="2:11" x14ac:dyDescent="0.25">
      <c r="B42" s="8"/>
      <c r="C42" s="11" t="s">
        <v>104</v>
      </c>
      <c r="D42" s="31">
        <v>0</v>
      </c>
      <c r="E42" s="31">
        <f>(Questionnaire!C47*Variables!C42)+(Questionnaire!C48*Variables!C43)+(Questionnaire!C49*Variables!C44)+(Questionnaire!C50*Variables!C42*0.5)+(Questionnaire!C51*Variables!C43*0.5)+(Questionnaire!C52*Variables!C44*0.5)+(Questionnaire!C54*Variables!C71)</f>
        <v>6.5</v>
      </c>
      <c r="F42" s="31">
        <v>0</v>
      </c>
      <c r="G42" s="10"/>
      <c r="H42" s="61">
        <f>Questionnaire!C46*Questionnaire!C53</f>
        <v>0</v>
      </c>
      <c r="I42" s="62">
        <f>Questionnaire!C46</f>
        <v>0</v>
      </c>
      <c r="J42" s="37">
        <f>(Questionnaire!C53*0.1+0.1)*Questionnaire!C46</f>
        <v>0</v>
      </c>
      <c r="K42" s="37">
        <f>Questionnaire!C46*0.2</f>
        <v>0</v>
      </c>
    </row>
    <row r="43" spans="2:11" x14ac:dyDescent="0.25">
      <c r="B43" s="8"/>
      <c r="C43" s="11"/>
      <c r="D43" s="11"/>
      <c r="E43" s="11"/>
      <c r="F43" s="11"/>
      <c r="G43" s="10"/>
      <c r="H43" s="59"/>
      <c r="I43" s="36"/>
      <c r="J43" s="57"/>
      <c r="K43" s="57"/>
    </row>
    <row r="44" spans="2:11" ht="15.75" thickBot="1" x14ac:dyDescent="0.3">
      <c r="B44" s="8"/>
      <c r="C44" s="28" t="s">
        <v>32</v>
      </c>
      <c r="D44" s="31">
        <f>SUM(D42:D43)</f>
        <v>0</v>
      </c>
      <c r="E44" s="31">
        <f>SUM(E42:E43)</f>
        <v>6.5</v>
      </c>
      <c r="F44" s="31">
        <f>SUM(F42:F43)</f>
        <v>0</v>
      </c>
      <c r="G44" s="10"/>
      <c r="H44" s="56"/>
      <c r="I44" s="36"/>
      <c r="J44" s="57"/>
      <c r="K44" s="57"/>
    </row>
    <row r="45" spans="2:11" x14ac:dyDescent="0.25">
      <c r="B45" s="8"/>
      <c r="C45" s="11"/>
      <c r="D45" s="11"/>
      <c r="E45" s="11"/>
      <c r="F45" s="11"/>
      <c r="G45" s="10"/>
      <c r="H45" s="56"/>
      <c r="I45" s="36"/>
      <c r="J45" s="57"/>
      <c r="K45" s="57"/>
    </row>
    <row r="46" spans="2:11" x14ac:dyDescent="0.25">
      <c r="B46" s="8"/>
      <c r="C46" s="9" t="s">
        <v>1</v>
      </c>
      <c r="D46" s="11"/>
      <c r="E46" s="11"/>
      <c r="F46" s="11"/>
      <c r="G46" s="10"/>
      <c r="H46" s="58"/>
      <c r="I46" s="36"/>
      <c r="J46" s="57"/>
      <c r="K46" s="57"/>
    </row>
    <row r="47" spans="2:11" x14ac:dyDescent="0.25">
      <c r="B47" s="8"/>
      <c r="C47" s="11" t="s">
        <v>105</v>
      </c>
      <c r="D47" s="31">
        <v>0</v>
      </c>
      <c r="E47" s="31">
        <f>(Questionnaire!C59*Variables!C48) +(Questionnaire!C60*Variables!C49) +(Questionnaire!C61*Variables!C50)+(Questionnaire!C62*Variables!C48*0.5) +(Questionnaire!C63*Variables!C49*0.5) +(Questionnaire!C63*Variables!C50*0.5)+(Questionnaire!C66*Variables!C71)</f>
        <v>28</v>
      </c>
      <c r="F47" s="31">
        <v>0</v>
      </c>
      <c r="G47" s="10"/>
      <c r="H47" s="61">
        <f>Questionnaire!C65*Questionnaire!C58</f>
        <v>0</v>
      </c>
      <c r="I47" s="37">
        <f>Questionnaire!C58</f>
        <v>0</v>
      </c>
      <c r="J47" s="37">
        <f>(Questionnaire!C65*0.1+0.1)*Questionnaire!C58</f>
        <v>0</v>
      </c>
      <c r="K47" s="37">
        <f>Questionnaire!C58*0.2</f>
        <v>0</v>
      </c>
    </row>
    <row r="48" spans="2:11" x14ac:dyDescent="0.25">
      <c r="B48" s="8"/>
      <c r="C48" s="11"/>
      <c r="D48" s="11"/>
      <c r="E48" s="11"/>
      <c r="F48" s="11"/>
      <c r="G48" s="10"/>
      <c r="H48" s="59"/>
      <c r="I48" s="36"/>
      <c r="J48" s="57"/>
      <c r="K48" s="57"/>
    </row>
    <row r="49" spans="2:11" ht="15.75" thickBot="1" x14ac:dyDescent="0.3">
      <c r="B49" s="8"/>
      <c r="C49" s="28" t="s">
        <v>35</v>
      </c>
      <c r="D49" s="31">
        <f>SUM(D47:D48)</f>
        <v>0</v>
      </c>
      <c r="E49" s="31">
        <f>SUM(E47:E48)</f>
        <v>28</v>
      </c>
      <c r="F49" s="31">
        <f>SUM(F47:F48)</f>
        <v>0</v>
      </c>
      <c r="G49" s="10"/>
      <c r="H49" s="56"/>
      <c r="I49" s="36"/>
      <c r="J49" s="57"/>
      <c r="K49" s="57"/>
    </row>
    <row r="50" spans="2:11" x14ac:dyDescent="0.25">
      <c r="B50" s="8"/>
      <c r="C50" s="9"/>
      <c r="D50" s="11"/>
      <c r="E50" s="11"/>
      <c r="F50" s="11"/>
      <c r="G50" s="10"/>
      <c r="H50" s="56"/>
      <c r="I50" s="36"/>
      <c r="J50" s="57"/>
      <c r="K50" s="57"/>
    </row>
    <row r="51" spans="2:11" x14ac:dyDescent="0.25">
      <c r="B51" s="8"/>
      <c r="C51" s="9" t="s">
        <v>100</v>
      </c>
      <c r="D51" s="11"/>
      <c r="E51" s="11"/>
      <c r="F51" s="11"/>
      <c r="G51" s="10"/>
      <c r="H51" s="58"/>
      <c r="I51" s="36"/>
      <c r="J51" s="57"/>
      <c r="K51" s="57"/>
    </row>
    <row r="52" spans="2:11" ht="15.75" thickBot="1" x14ac:dyDescent="0.3">
      <c r="B52" s="8"/>
      <c r="C52" s="11" t="s">
        <v>106</v>
      </c>
      <c r="D52" s="31">
        <v>0</v>
      </c>
      <c r="E52" s="31">
        <f>(Questionnaire!C71*Variables!C54) +(Questionnaire!C72*Variables!C55) +(Questionnaire!C73*Variables!C56)+(Questionnaire!C74*Variables!C54*0.5) +(Questionnaire!C75*Variables!C55*0.5) +(Questionnaire!C76*Variables!C56*0.5)</f>
        <v>0</v>
      </c>
      <c r="F52" s="31">
        <v>0</v>
      </c>
      <c r="G52" s="10"/>
      <c r="H52" s="59">
        <v>0</v>
      </c>
      <c r="I52" s="63">
        <v>0</v>
      </c>
      <c r="J52" s="63">
        <f>(Questionnaire!C77*0.1+0.1)*Questionnaire!C70</f>
        <v>0</v>
      </c>
      <c r="K52" s="63">
        <f>Questionnaire!C70*0.2</f>
        <v>0</v>
      </c>
    </row>
    <row r="53" spans="2:11" ht="45" customHeight="1" x14ac:dyDescent="0.25">
      <c r="B53" s="8"/>
      <c r="C53" s="9"/>
      <c r="D53" s="11"/>
      <c r="E53" s="11"/>
      <c r="F53" s="11"/>
      <c r="G53" s="10"/>
      <c r="H53" s="97" t="s">
        <v>247</v>
      </c>
      <c r="I53" s="98"/>
      <c r="J53" s="99" t="s">
        <v>248</v>
      </c>
      <c r="K53" s="100"/>
    </row>
    <row r="54" spans="2:11" ht="15.75" thickBot="1" x14ac:dyDescent="0.3">
      <c r="B54" s="8"/>
      <c r="C54" s="28" t="s">
        <v>78</v>
      </c>
      <c r="D54" s="31">
        <f>SUM(D52:D53)</f>
        <v>0</v>
      </c>
      <c r="E54" s="31">
        <f>SUM(E52:E53)</f>
        <v>0</v>
      </c>
      <c r="F54" s="31">
        <f>SUM(F52:F53)</f>
        <v>0</v>
      </c>
      <c r="G54" s="10"/>
      <c r="H54" s="64" t="s">
        <v>193</v>
      </c>
      <c r="I54" s="65" t="s">
        <v>195</v>
      </c>
      <c r="J54" s="66" t="s">
        <v>193</v>
      </c>
      <c r="K54" s="65" t="s">
        <v>195</v>
      </c>
    </row>
    <row r="55" spans="2:11" ht="15.75" thickBot="1" x14ac:dyDescent="0.3">
      <c r="B55" s="8"/>
      <c r="C55" s="11"/>
      <c r="D55" s="11"/>
      <c r="E55" s="11"/>
      <c r="F55" s="11"/>
      <c r="G55" s="10"/>
      <c r="H55" s="67">
        <f>SUM(H37,H42,H47,H52)</f>
        <v>5</v>
      </c>
      <c r="I55" s="68">
        <f>SUM(I37,I42,I47,I52)</f>
        <v>1</v>
      </c>
      <c r="J55" s="69">
        <f>SUM(J37,J42,J47,J52)</f>
        <v>0.6</v>
      </c>
      <c r="K55" s="68">
        <f>SUM(K37,K42,K47,K52)</f>
        <v>0.2</v>
      </c>
    </row>
    <row r="56" spans="2:11" x14ac:dyDescent="0.25">
      <c r="B56" s="8"/>
      <c r="C56" s="9" t="s">
        <v>25</v>
      </c>
      <c r="D56" s="11"/>
      <c r="E56" s="11"/>
      <c r="F56" s="11"/>
      <c r="G56" s="10"/>
      <c r="H56" s="11"/>
      <c r="I56" s="36"/>
      <c r="J56" s="36"/>
      <c r="K56" s="46"/>
    </row>
    <row r="57" spans="2:11" x14ac:dyDescent="0.25">
      <c r="B57" s="8"/>
      <c r="C57" s="11" t="s">
        <v>57</v>
      </c>
      <c r="D57" s="31">
        <f>E57*Variables!$C$65%</f>
        <v>0</v>
      </c>
      <c r="E57" s="31">
        <f>IF(Questionnaire!C87="yes",Variables!C59,0)</f>
        <v>0</v>
      </c>
      <c r="F57" s="31">
        <v>0</v>
      </c>
      <c r="G57" s="10"/>
      <c r="H57" s="11"/>
      <c r="I57" s="36"/>
      <c r="J57" s="36"/>
      <c r="K57" s="46"/>
    </row>
    <row r="58" spans="2:11" x14ac:dyDescent="0.25">
      <c r="B58" s="8"/>
      <c r="C58" s="11" t="s">
        <v>58</v>
      </c>
      <c r="D58" s="31">
        <f>E58*Variables!$C$65%</f>
        <v>0</v>
      </c>
      <c r="E58" s="31">
        <f>IF(Questionnaire!C88="yes",Variables!C60,0)</f>
        <v>0</v>
      </c>
      <c r="F58" s="31">
        <v>0</v>
      </c>
      <c r="G58" s="10"/>
      <c r="H58" s="11"/>
      <c r="I58" s="36"/>
      <c r="J58" s="36"/>
      <c r="K58" s="46"/>
    </row>
    <row r="59" spans="2:11" ht="15.75" thickBot="1" x14ac:dyDescent="0.3">
      <c r="B59" s="8"/>
      <c r="C59" s="11" t="s">
        <v>59</v>
      </c>
      <c r="D59" s="31">
        <f>E59*Variables!$C$65%</f>
        <v>0</v>
      </c>
      <c r="E59" s="31">
        <f>IF(Questionnaire!C89="yes",Variables!C61,0)</f>
        <v>0</v>
      </c>
      <c r="F59" s="31">
        <v>0</v>
      </c>
      <c r="G59" s="10"/>
      <c r="H59" s="125" t="s">
        <v>246</v>
      </c>
      <c r="I59" s="85"/>
      <c r="J59" s="36"/>
      <c r="K59" s="46"/>
    </row>
    <row r="60" spans="2:11" x14ac:dyDescent="0.25">
      <c r="B60" s="8"/>
      <c r="C60" s="11"/>
      <c r="D60" s="11"/>
      <c r="E60" s="11"/>
      <c r="F60" s="11"/>
      <c r="G60" s="10"/>
      <c r="H60" s="123" t="s">
        <v>247</v>
      </c>
      <c r="I60" s="124"/>
      <c r="J60" s="99" t="s">
        <v>248</v>
      </c>
      <c r="K60" s="100"/>
    </row>
    <row r="61" spans="2:11" ht="15.75" thickBot="1" x14ac:dyDescent="0.3">
      <c r="B61" s="8"/>
      <c r="C61" s="28" t="s">
        <v>62</v>
      </c>
      <c r="D61" s="31">
        <f>SUM(D57:D60)</f>
        <v>0</v>
      </c>
      <c r="E61" s="31">
        <f>SUM(E57:E60)</f>
        <v>0</v>
      </c>
      <c r="F61" s="31">
        <f>SUM(F57:F60)</f>
        <v>0</v>
      </c>
      <c r="G61" s="10"/>
      <c r="H61" s="64" t="s">
        <v>193</v>
      </c>
      <c r="I61" s="65" t="s">
        <v>195</v>
      </c>
      <c r="J61" s="66" t="s">
        <v>193</v>
      </c>
      <c r="K61" s="65" t="s">
        <v>195</v>
      </c>
    </row>
    <row r="62" spans="2:11" ht="15.75" thickBot="1" x14ac:dyDescent="0.3">
      <c r="B62" s="8"/>
      <c r="C62" s="11"/>
      <c r="D62" s="11"/>
      <c r="E62" s="11"/>
      <c r="F62" s="11"/>
      <c r="G62" s="10"/>
      <c r="H62" s="67">
        <f>Questionnaire!C81*5</f>
        <v>5</v>
      </c>
      <c r="I62" s="68">
        <f>Questionnaire!C81</f>
        <v>1</v>
      </c>
      <c r="J62" s="69">
        <f>(Questionnaire!C81*0.6)</f>
        <v>0.6</v>
      </c>
      <c r="K62" s="68">
        <f>(Questionnaire!C81*0.1)</f>
        <v>0.1</v>
      </c>
    </row>
    <row r="63" spans="2:11" ht="15.75" thickBot="1" x14ac:dyDescent="0.3">
      <c r="B63" s="8"/>
      <c r="C63" s="29" t="s">
        <v>87</v>
      </c>
      <c r="D63" s="31">
        <f>D39+D61+D54+D49+D44+D23</f>
        <v>0</v>
      </c>
      <c r="E63" s="31">
        <f>E39+E61+E54+E49+E44+E23</f>
        <v>42.5</v>
      </c>
      <c r="F63" s="31">
        <f>(D63+E63) * Variables!C33%</f>
        <v>8.5</v>
      </c>
      <c r="G63" s="34"/>
      <c r="H63" s="11"/>
      <c r="I63" s="36"/>
      <c r="J63" s="36"/>
      <c r="K63" s="46"/>
    </row>
    <row r="64" spans="2:11" x14ac:dyDescent="0.25">
      <c r="B64" s="8"/>
      <c r="C64" s="11"/>
      <c r="D64" s="11"/>
      <c r="E64" s="11"/>
      <c r="F64" s="11"/>
      <c r="G64" s="10"/>
      <c r="H64" s="114" t="s">
        <v>201</v>
      </c>
      <c r="I64" s="115"/>
      <c r="J64" s="37" t="s">
        <v>193</v>
      </c>
      <c r="K64" s="37" t="s">
        <v>195</v>
      </c>
    </row>
    <row r="65" spans="2:11" x14ac:dyDescent="0.25">
      <c r="B65" s="8"/>
      <c r="C65" s="9" t="s">
        <v>85</v>
      </c>
      <c r="D65" s="25"/>
      <c r="E65" s="11"/>
      <c r="F65" s="11"/>
      <c r="G65" s="10"/>
      <c r="H65" s="116"/>
      <c r="I65" s="117"/>
      <c r="J65" s="120"/>
      <c r="K65" s="120"/>
    </row>
    <row r="66" spans="2:11" x14ac:dyDescent="0.25">
      <c r="B66" s="8"/>
      <c r="C66" s="11" t="s">
        <v>116</v>
      </c>
      <c r="D66" s="31">
        <f>(D11+E11+F11) + (D32 + E32 + F32)</f>
        <v>5.05</v>
      </c>
      <c r="E66" s="11"/>
      <c r="F66" s="11"/>
      <c r="G66" s="10"/>
      <c r="H66" s="116"/>
      <c r="I66" s="117"/>
      <c r="J66" s="121"/>
      <c r="K66" s="121"/>
    </row>
    <row r="67" spans="2:11" ht="15.75" thickBot="1" x14ac:dyDescent="0.3">
      <c r="B67" s="8"/>
      <c r="C67" s="11" t="s">
        <v>84</v>
      </c>
      <c r="D67" s="31">
        <f>D63+E63+F63</f>
        <v>51</v>
      </c>
      <c r="E67" s="11"/>
      <c r="F67" s="11"/>
      <c r="G67" s="10"/>
      <c r="H67" s="118"/>
      <c r="I67" s="119"/>
      <c r="J67" s="122"/>
      <c r="K67" s="122"/>
    </row>
    <row r="68" spans="2:11" x14ac:dyDescent="0.25">
      <c r="B68" s="8"/>
      <c r="C68" s="11" t="s">
        <v>115</v>
      </c>
      <c r="D68" s="35">
        <f>D67*Variables!C68%</f>
        <v>10.200000000000001</v>
      </c>
      <c r="E68" s="11"/>
      <c r="F68" s="11"/>
      <c r="G68" s="10"/>
      <c r="H68" s="101" t="s">
        <v>247</v>
      </c>
      <c r="I68" s="100"/>
      <c r="J68" s="99" t="s">
        <v>248</v>
      </c>
      <c r="K68" s="100"/>
    </row>
    <row r="69" spans="2:11" x14ac:dyDescent="0.25">
      <c r="B69" s="8"/>
      <c r="C69" s="11" t="s">
        <v>233</v>
      </c>
      <c r="D69" s="31">
        <f>'Tech Uplift'!H11</f>
        <v>0</v>
      </c>
      <c r="E69" s="11"/>
      <c r="F69" s="11"/>
      <c r="G69" s="10"/>
      <c r="H69" s="64" t="s">
        <v>193</v>
      </c>
      <c r="I69" s="65" t="s">
        <v>195</v>
      </c>
      <c r="J69" s="66" t="s">
        <v>193</v>
      </c>
      <c r="K69" s="65" t="s">
        <v>195</v>
      </c>
    </row>
    <row r="70" spans="2:11" x14ac:dyDescent="0.25">
      <c r="B70" s="8"/>
      <c r="C70" s="11"/>
      <c r="D70" s="25"/>
      <c r="E70" s="11"/>
      <c r="F70" s="11"/>
      <c r="G70" s="10"/>
      <c r="H70" s="72">
        <f>SUM(H55,H62)</f>
        <v>10</v>
      </c>
      <c r="I70" s="73">
        <f>SUM(I55,I62)</f>
        <v>2</v>
      </c>
      <c r="J70" s="74">
        <f>SUM(J55,J62,J65)</f>
        <v>1.2</v>
      </c>
      <c r="K70" s="73">
        <f>SUM(K55,K62,K65)</f>
        <v>0.30000000000000004</v>
      </c>
    </row>
    <row r="71" spans="2:11" ht="15.75" thickBot="1" x14ac:dyDescent="0.3">
      <c r="B71" s="8"/>
      <c r="C71" s="29" t="s">
        <v>86</v>
      </c>
      <c r="D71" s="31">
        <f>(SUM(D66:D69))</f>
        <v>66.25</v>
      </c>
      <c r="E71" s="11"/>
      <c r="F71" s="11"/>
      <c r="G71" s="10"/>
      <c r="H71" s="75"/>
      <c r="I71" s="76"/>
      <c r="J71" s="87"/>
      <c r="K71" s="88"/>
    </row>
    <row r="72" spans="2:11" x14ac:dyDescent="0.25">
      <c r="B72" s="13"/>
      <c r="C72" s="14"/>
      <c r="D72" s="14"/>
      <c r="E72" s="14"/>
      <c r="F72" s="14"/>
      <c r="G72" s="15"/>
      <c r="H72" s="77"/>
      <c r="I72" s="47"/>
      <c r="J72" s="89"/>
      <c r="K72" s="90"/>
    </row>
    <row r="78" spans="2:11" x14ac:dyDescent="0.25">
      <c r="B78" t="s">
        <v>81</v>
      </c>
    </row>
    <row r="80" spans="2:11" x14ac:dyDescent="0.25">
      <c r="B80" t="s">
        <v>82</v>
      </c>
    </row>
    <row r="81" spans="2:3" x14ac:dyDescent="0.25">
      <c r="B81" t="s">
        <v>83</v>
      </c>
    </row>
    <row r="82" spans="2:3" x14ac:dyDescent="0.25">
      <c r="B82" t="s">
        <v>84</v>
      </c>
    </row>
    <row r="93" spans="2:3" x14ac:dyDescent="0.25">
      <c r="C93" s="3" t="s">
        <v>53</v>
      </c>
    </row>
    <row r="94" spans="2:3" ht="33.75" x14ac:dyDescent="0.5">
      <c r="C94" s="4" t="s">
        <v>26</v>
      </c>
    </row>
  </sheetData>
  <mergeCells count="15">
    <mergeCell ref="J71:K72"/>
    <mergeCell ref="D2:G3"/>
    <mergeCell ref="H53:I53"/>
    <mergeCell ref="J53:K53"/>
    <mergeCell ref="H68:I68"/>
    <mergeCell ref="J68:K68"/>
    <mergeCell ref="H2:K3"/>
    <mergeCell ref="H4:K32"/>
    <mergeCell ref="H33:I33"/>
    <mergeCell ref="H64:I67"/>
    <mergeCell ref="J65:J67"/>
    <mergeCell ref="K65:K67"/>
    <mergeCell ref="H60:I60"/>
    <mergeCell ref="J60:K60"/>
    <mergeCell ref="H59:I59"/>
  </mergeCells>
  <pageMargins left="0.7" right="0.7" top="0.75" bottom="0.75" header="0.3" footer="0.3"/>
  <pageSetup paperSize="9" orientation="portrait" r:id="rId1"/>
  <headerFooter>
    <oddHeader>&amp;C&amp;"Calibri"&amp;11&amp;K000000OFFICIAL&amp;1#</oddHeader>
    <oddFooter>&amp;C&amp;1#&amp;"Calibri"&amp;9&amp;K000000OFFICIAL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view_variables">
                <anchor moveWithCells="1" sizeWithCells="1">
                  <from>
                    <xdr:col>1</xdr:col>
                    <xdr:colOff>9525</xdr:colOff>
                    <xdr:row>73</xdr:row>
                    <xdr:rowOff>104775</xdr:rowOff>
                  </from>
                  <to>
                    <xdr:col>2</xdr:col>
                    <xdr:colOff>790575</xdr:colOff>
                    <xdr:row>75</xdr:row>
                    <xdr:rowOff>104775</xdr:rowOff>
                  </to>
                </anchor>
              </controlPr>
            </control>
          </mc:Choice>
        </mc:AlternateContent>
        <mc:AlternateContent xmlns:mc="http://schemas.openxmlformats.org/markup-compatibility/2006">
          <mc:Choice Requires="x14">
            <control shapeId="14338" r:id="rId5" name="Button 2">
              <controlPr defaultSize="0" print="0" autoFill="0" autoPict="0" macro="[0]!View_Questionnaire">
                <anchor moveWithCells="1" sizeWithCells="1">
                  <from>
                    <xdr:col>2</xdr:col>
                    <xdr:colOff>904875</xdr:colOff>
                    <xdr:row>73</xdr:row>
                    <xdr:rowOff>104775</xdr:rowOff>
                  </from>
                  <to>
                    <xdr:col>2</xdr:col>
                    <xdr:colOff>2343150</xdr:colOff>
                    <xdr:row>75</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0DCEB-EB6B-4E89-B9B6-FAA6FDA06CCD}">
  <sheetPr codeName="Sheet2"/>
  <dimension ref="A1:I48"/>
  <sheetViews>
    <sheetView topLeftCell="A20" workbookViewId="0">
      <selection activeCell="J10" sqref="J10"/>
    </sheetView>
  </sheetViews>
  <sheetFormatPr defaultRowHeight="15" x14ac:dyDescent="0.25"/>
  <cols>
    <col min="1" max="1" width="18.28515625" bestFit="1" customWidth="1"/>
    <col min="2" max="2" width="12.5703125" style="51" bestFit="1" customWidth="1"/>
    <col min="3" max="3" width="7" bestFit="1" customWidth="1"/>
    <col min="4" max="4" width="11.85546875" bestFit="1" customWidth="1"/>
    <col min="5" max="5" width="11.5703125" bestFit="1" customWidth="1"/>
    <col min="6" max="6" width="10.85546875" bestFit="1" customWidth="1"/>
    <col min="7" max="7" width="14.140625" customWidth="1"/>
    <col min="8" max="8" width="31.85546875" customWidth="1"/>
    <col min="9" max="9" width="11.85546875" customWidth="1"/>
    <col min="10" max="10" width="19.28515625" customWidth="1"/>
  </cols>
  <sheetData>
    <row r="1" spans="1:8" x14ac:dyDescent="0.25">
      <c r="A1" s="146" t="s">
        <v>206</v>
      </c>
      <c r="B1" s="147"/>
      <c r="C1" s="147"/>
      <c r="D1" s="147"/>
      <c r="E1" s="147"/>
      <c r="F1" s="147"/>
      <c r="G1" s="147"/>
      <c r="H1" s="147"/>
    </row>
    <row r="2" spans="1:8" x14ac:dyDescent="0.25">
      <c r="A2" s="129" t="s">
        <v>239</v>
      </c>
      <c r="B2" s="130"/>
      <c r="C2" s="130"/>
      <c r="D2" s="130"/>
      <c r="E2" s="130"/>
      <c r="F2" s="130"/>
      <c r="G2" s="130"/>
      <c r="H2" s="131"/>
    </row>
    <row r="3" spans="1:8" x14ac:dyDescent="0.25">
      <c r="A3" s="132"/>
      <c r="B3" s="133"/>
      <c r="C3" s="133"/>
      <c r="D3" s="133"/>
      <c r="E3" s="133"/>
      <c r="F3" s="133"/>
      <c r="G3" s="133"/>
      <c r="H3" s="134"/>
    </row>
    <row r="4" spans="1:8" x14ac:dyDescent="0.25">
      <c r="A4" s="135"/>
      <c r="B4" s="136"/>
      <c r="C4" s="136"/>
      <c r="D4" s="136"/>
      <c r="E4" s="136"/>
      <c r="F4" s="136"/>
      <c r="G4" s="136"/>
      <c r="H4" s="137"/>
    </row>
    <row r="5" spans="1:8" x14ac:dyDescent="0.25">
      <c r="A5" s="129" t="s">
        <v>235</v>
      </c>
      <c r="B5" s="138"/>
      <c r="C5" s="138"/>
      <c r="D5" s="138"/>
      <c r="E5" s="138"/>
      <c r="F5" s="138"/>
      <c r="G5" s="138"/>
      <c r="H5" s="139"/>
    </row>
    <row r="6" spans="1:8" x14ac:dyDescent="0.25">
      <c r="A6" s="140"/>
      <c r="B6" s="141"/>
      <c r="C6" s="141"/>
      <c r="D6" s="141"/>
      <c r="E6" s="141"/>
      <c r="F6" s="141"/>
      <c r="G6" s="141"/>
      <c r="H6" s="142"/>
    </row>
    <row r="7" spans="1:8" x14ac:dyDescent="0.25">
      <c r="A7" s="140"/>
      <c r="B7" s="141"/>
      <c r="C7" s="141"/>
      <c r="D7" s="141"/>
      <c r="E7" s="141"/>
      <c r="F7" s="141"/>
      <c r="G7" s="141"/>
      <c r="H7" s="142"/>
    </row>
    <row r="8" spans="1:8" ht="8.25" customHeight="1" x14ac:dyDescent="0.25">
      <c r="A8" s="143"/>
      <c r="B8" s="144"/>
      <c r="C8" s="144"/>
      <c r="D8" s="144"/>
      <c r="E8" s="144"/>
      <c r="F8" s="144"/>
      <c r="G8" s="144"/>
      <c r="H8" s="145"/>
    </row>
    <row r="9" spans="1:8" x14ac:dyDescent="0.25">
      <c r="A9" s="80"/>
      <c r="B9" s="80"/>
      <c r="C9" s="80"/>
      <c r="D9" s="80"/>
      <c r="E9" s="80"/>
      <c r="F9" s="80"/>
      <c r="G9" s="80"/>
      <c r="H9" s="80"/>
    </row>
    <row r="11" spans="1:8" x14ac:dyDescent="0.25">
      <c r="A11" s="148" t="s">
        <v>203</v>
      </c>
      <c r="B11" s="149"/>
      <c r="C11" s="149"/>
      <c r="D11" s="149"/>
      <c r="E11" s="149"/>
      <c r="F11" s="149"/>
      <c r="G11" s="149"/>
      <c r="H11" s="85"/>
    </row>
    <row r="12" spans="1:8" x14ac:dyDescent="0.25">
      <c r="A12" s="150" t="s">
        <v>204</v>
      </c>
      <c r="B12" s="138"/>
      <c r="C12" s="138"/>
      <c r="D12" s="138"/>
      <c r="E12" s="138"/>
      <c r="F12" s="138"/>
      <c r="G12" s="138"/>
      <c r="H12" s="139"/>
    </row>
    <row r="13" spans="1:8" x14ac:dyDescent="0.25">
      <c r="A13" s="140" t="s">
        <v>236</v>
      </c>
      <c r="B13" s="141"/>
      <c r="C13" s="141"/>
      <c r="D13" s="141"/>
      <c r="E13" s="141"/>
      <c r="F13" s="141"/>
      <c r="G13" s="141"/>
      <c r="H13" s="142"/>
    </row>
    <row r="14" spans="1:8" x14ac:dyDescent="0.25">
      <c r="A14" s="140" t="s">
        <v>234</v>
      </c>
      <c r="B14" s="141"/>
      <c r="C14" s="141"/>
      <c r="D14" s="141"/>
      <c r="E14" s="141"/>
      <c r="F14" s="141"/>
      <c r="G14" s="141"/>
      <c r="H14" s="142"/>
    </row>
    <row r="15" spans="1:8" x14ac:dyDescent="0.25">
      <c r="A15" s="140" t="s">
        <v>237</v>
      </c>
      <c r="B15" s="141"/>
      <c r="C15" s="141"/>
      <c r="D15" s="141"/>
      <c r="E15" s="141"/>
      <c r="F15" s="141"/>
      <c r="G15" s="141"/>
      <c r="H15" s="142"/>
    </row>
    <row r="16" spans="1:8" x14ac:dyDescent="0.25">
      <c r="A16" s="143"/>
      <c r="B16" s="144"/>
      <c r="C16" s="144"/>
      <c r="D16" s="144"/>
      <c r="E16" s="144"/>
      <c r="F16" s="144"/>
      <c r="G16" s="144"/>
      <c r="H16" s="145"/>
    </row>
    <row r="17" spans="1:9" x14ac:dyDescent="0.25">
      <c r="B17"/>
    </row>
    <row r="19" spans="1:9" x14ac:dyDescent="0.25">
      <c r="A19" s="1" t="s">
        <v>205</v>
      </c>
    </row>
    <row r="20" spans="1:9" x14ac:dyDescent="0.25">
      <c r="A20" s="78" t="s">
        <v>196</v>
      </c>
      <c r="B20" s="78" t="s">
        <v>197</v>
      </c>
      <c r="C20" s="78" t="s">
        <v>198</v>
      </c>
      <c r="D20" s="78" t="s">
        <v>199</v>
      </c>
      <c r="E20" s="78" t="s">
        <v>207</v>
      </c>
      <c r="F20" s="78" t="s">
        <v>212</v>
      </c>
      <c r="G20" s="78" t="s">
        <v>208</v>
      </c>
      <c r="H20" s="78" t="s">
        <v>211</v>
      </c>
      <c r="I20" s="78" t="s">
        <v>200</v>
      </c>
    </row>
    <row r="21" spans="1:9" x14ac:dyDescent="0.25">
      <c r="A21" s="126">
        <v>1</v>
      </c>
      <c r="B21" s="128" t="s">
        <v>218</v>
      </c>
      <c r="C21" s="128" t="s">
        <v>219</v>
      </c>
      <c r="D21" s="128" t="s">
        <v>220</v>
      </c>
      <c r="E21" s="44" t="s">
        <v>210</v>
      </c>
      <c r="F21" s="44" t="s">
        <v>214</v>
      </c>
      <c r="G21" s="44" t="s">
        <v>221</v>
      </c>
      <c r="H21" s="44" t="s">
        <v>222</v>
      </c>
      <c r="I21" s="44"/>
    </row>
    <row r="22" spans="1:9" x14ac:dyDescent="0.25">
      <c r="A22" s="127"/>
      <c r="B22" s="122"/>
      <c r="C22" s="122"/>
      <c r="D22" s="122"/>
      <c r="E22" s="44" t="s">
        <v>225</v>
      </c>
      <c r="F22" s="44" t="s">
        <v>215</v>
      </c>
      <c r="G22" s="44" t="s">
        <v>221</v>
      </c>
      <c r="H22" s="44" t="s">
        <v>223</v>
      </c>
      <c r="I22" s="44"/>
    </row>
    <row r="23" spans="1:9" x14ac:dyDescent="0.25">
      <c r="A23" s="44"/>
      <c r="B23" s="79"/>
      <c r="C23" s="44"/>
      <c r="D23" s="44"/>
      <c r="E23" s="44"/>
      <c r="F23" s="44"/>
      <c r="G23" s="44"/>
      <c r="H23" s="44"/>
      <c r="I23" s="44"/>
    </row>
    <row r="24" spans="1:9" x14ac:dyDescent="0.25">
      <c r="A24" s="44"/>
      <c r="B24" s="79"/>
      <c r="C24" s="44"/>
      <c r="D24" s="44"/>
      <c r="E24" s="44"/>
      <c r="F24" s="44"/>
      <c r="G24" s="44"/>
      <c r="H24" s="44"/>
      <c r="I24" s="44"/>
    </row>
    <row r="25" spans="1:9" x14ac:dyDescent="0.25">
      <c r="A25" s="44"/>
      <c r="B25" s="79"/>
      <c r="C25" s="44"/>
      <c r="D25" s="44"/>
      <c r="E25" s="44"/>
      <c r="F25" s="44"/>
      <c r="G25" s="44"/>
      <c r="H25" s="44"/>
      <c r="I25" s="44"/>
    </row>
    <row r="26" spans="1:9" x14ac:dyDescent="0.25">
      <c r="A26" s="44"/>
      <c r="B26" s="79"/>
      <c r="C26" s="44"/>
      <c r="D26" s="44"/>
      <c r="E26" s="44"/>
      <c r="F26" s="44"/>
      <c r="G26" s="44"/>
      <c r="H26" s="44"/>
      <c r="I26" s="44"/>
    </row>
    <row r="27" spans="1:9" x14ac:dyDescent="0.25">
      <c r="A27" s="44"/>
      <c r="B27" s="79"/>
      <c r="C27" s="44"/>
      <c r="D27" s="44"/>
      <c r="E27" s="44"/>
      <c r="F27" s="44"/>
      <c r="G27" s="44"/>
      <c r="H27" s="44"/>
      <c r="I27" s="44"/>
    </row>
    <row r="28" spans="1:9" x14ac:dyDescent="0.25">
      <c r="A28" s="44"/>
      <c r="B28" s="79"/>
      <c r="C28" s="44"/>
      <c r="D28" s="44"/>
      <c r="E28" s="44"/>
      <c r="F28" s="44"/>
      <c r="G28" s="44"/>
      <c r="H28" s="44"/>
      <c r="I28" s="44"/>
    </row>
    <row r="29" spans="1:9" x14ac:dyDescent="0.25">
      <c r="A29" s="44"/>
      <c r="B29" s="79"/>
      <c r="C29" s="44"/>
      <c r="D29" s="44"/>
      <c r="E29" s="44"/>
      <c r="F29" s="44"/>
      <c r="G29" s="44"/>
      <c r="H29" s="44"/>
      <c r="I29" s="44"/>
    </row>
    <row r="30" spans="1:9" x14ac:dyDescent="0.25">
      <c r="A30" s="44"/>
      <c r="B30" s="79"/>
      <c r="C30" s="44"/>
      <c r="D30" s="44"/>
      <c r="E30" s="44"/>
      <c r="F30" s="44"/>
      <c r="G30" s="44"/>
      <c r="H30" s="44"/>
      <c r="I30" s="44"/>
    </row>
    <row r="31" spans="1:9" x14ac:dyDescent="0.25">
      <c r="A31" s="44"/>
      <c r="B31" s="79"/>
      <c r="C31" s="44"/>
      <c r="D31" s="44"/>
      <c r="E31" s="44"/>
      <c r="F31" s="44"/>
      <c r="G31" s="44"/>
      <c r="H31" s="44"/>
      <c r="I31" s="44"/>
    </row>
    <row r="32" spans="1:9" x14ac:dyDescent="0.25">
      <c r="A32" s="44"/>
      <c r="B32" s="79"/>
      <c r="C32" s="44"/>
      <c r="D32" s="44"/>
      <c r="E32" s="44"/>
      <c r="F32" s="44"/>
      <c r="G32" s="44"/>
      <c r="H32" s="44"/>
      <c r="I32" s="44"/>
    </row>
    <row r="33" spans="1:9" x14ac:dyDescent="0.25">
      <c r="A33" s="44"/>
      <c r="B33" s="79"/>
      <c r="C33" s="44"/>
      <c r="D33" s="44"/>
      <c r="E33" s="44"/>
      <c r="F33" s="44"/>
      <c r="G33" s="44"/>
      <c r="H33" s="44"/>
      <c r="I33" s="44"/>
    </row>
    <row r="34" spans="1:9" x14ac:dyDescent="0.25">
      <c r="B34"/>
    </row>
    <row r="35" spans="1:9" x14ac:dyDescent="0.25">
      <c r="A35" s="1" t="s">
        <v>202</v>
      </c>
      <c r="B35"/>
    </row>
    <row r="36" spans="1:9" x14ac:dyDescent="0.25">
      <c r="B36"/>
    </row>
    <row r="37" spans="1:9" x14ac:dyDescent="0.25">
      <c r="B37"/>
    </row>
    <row r="38" spans="1:9" x14ac:dyDescent="0.25">
      <c r="B38"/>
    </row>
    <row r="39" spans="1:9" x14ac:dyDescent="0.25">
      <c r="B39"/>
    </row>
    <row r="40" spans="1:9" x14ac:dyDescent="0.25">
      <c r="B40"/>
    </row>
    <row r="41" spans="1:9" x14ac:dyDescent="0.25">
      <c r="B41"/>
    </row>
    <row r="42" spans="1:9" x14ac:dyDescent="0.25">
      <c r="B42"/>
    </row>
    <row r="43" spans="1:9" x14ac:dyDescent="0.25">
      <c r="B43"/>
    </row>
    <row r="44" spans="1:9" x14ac:dyDescent="0.25">
      <c r="B44"/>
    </row>
    <row r="45" spans="1:9" x14ac:dyDescent="0.25">
      <c r="B45"/>
    </row>
    <row r="46" spans="1:9" x14ac:dyDescent="0.25">
      <c r="B46"/>
    </row>
    <row r="47" spans="1:9" x14ac:dyDescent="0.25">
      <c r="B47"/>
    </row>
    <row r="48" spans="1:9" x14ac:dyDescent="0.25">
      <c r="B48"/>
    </row>
  </sheetData>
  <mergeCells count="13">
    <mergeCell ref="A1:H1"/>
    <mergeCell ref="A11:H11"/>
    <mergeCell ref="A16:H16"/>
    <mergeCell ref="A12:H12"/>
    <mergeCell ref="A13:H13"/>
    <mergeCell ref="A14:H14"/>
    <mergeCell ref="A15:H15"/>
    <mergeCell ref="A21:A22"/>
    <mergeCell ref="B21:B22"/>
    <mergeCell ref="C21:C22"/>
    <mergeCell ref="D21:D22"/>
    <mergeCell ref="A2:H4"/>
    <mergeCell ref="A5:H8"/>
  </mergeCells>
  <pageMargins left="0.7" right="0.7" top="0.75" bottom="0.75" header="0.3" footer="0.3"/>
  <pageSetup paperSize="9" orientation="portrait" r:id="rId1"/>
  <headerFooter>
    <oddHeader>&amp;C&amp;"Calibri"&amp;11&amp;K000000OFFICIAL&amp;1#</oddHeader>
    <oddFooter>&amp;C&amp;1#&amp;"Calibri"&amp;9&amp;K000000OFFICIAL</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F77CF40B-45C6-453C-B258-14E6961AB36D}">
          <x14:formula1>
            <xm:f>LOV!$G$12:$G$14</xm:f>
          </x14:formula1>
          <xm:sqref>H21:H32</xm:sqref>
        </x14:dataValidation>
        <x14:dataValidation type="list" allowBlank="1" showInputMessage="1" showErrorMessage="1" xr:uid="{71E75529-313C-412C-A92F-AD606AA1329B}">
          <x14:formula1>
            <xm:f>LOV!$G$19:$G$22</xm:f>
          </x14:formula1>
          <xm:sqref>F21:F33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EC9BD-912E-45E2-96AB-89A38340A117}">
  <dimension ref="A1:J11"/>
  <sheetViews>
    <sheetView workbookViewId="0">
      <selection activeCell="J1" sqref="J1"/>
    </sheetView>
  </sheetViews>
  <sheetFormatPr defaultRowHeight="15" x14ac:dyDescent="0.25"/>
  <cols>
    <col min="2" max="2" width="9.7109375" bestFit="1" customWidth="1"/>
    <col min="3" max="3" width="14.7109375" bestFit="1" customWidth="1"/>
    <col min="6" max="6" width="20" bestFit="1" customWidth="1"/>
    <col min="7" max="7" width="16.5703125" customWidth="1"/>
    <col min="8" max="8" width="9.85546875" bestFit="1" customWidth="1"/>
    <col min="10" max="10" width="14" customWidth="1"/>
  </cols>
  <sheetData>
    <row r="1" spans="1:10" x14ac:dyDescent="0.25">
      <c r="A1" s="78" t="s">
        <v>196</v>
      </c>
      <c r="B1" s="78" t="s">
        <v>207</v>
      </c>
      <c r="C1" s="78" t="s">
        <v>208</v>
      </c>
      <c r="D1" s="78" t="s">
        <v>198</v>
      </c>
      <c r="E1" s="78" t="s">
        <v>199</v>
      </c>
      <c r="F1" s="78" t="s">
        <v>230</v>
      </c>
      <c r="G1" s="78" t="s">
        <v>228</v>
      </c>
      <c r="H1" s="78" t="s">
        <v>229</v>
      </c>
      <c r="I1" s="78" t="s">
        <v>200</v>
      </c>
      <c r="J1" s="83" t="s">
        <v>238</v>
      </c>
    </row>
    <row r="2" spans="1:10" x14ac:dyDescent="0.25">
      <c r="A2" s="81">
        <v>1</v>
      </c>
      <c r="B2" s="44" t="s">
        <v>210</v>
      </c>
      <c r="C2" s="44" t="s">
        <v>209</v>
      </c>
      <c r="D2" s="44"/>
      <c r="E2" s="44"/>
      <c r="F2" s="44" t="s">
        <v>227</v>
      </c>
      <c r="G2" s="44"/>
      <c r="H2" s="44"/>
      <c r="I2" s="44"/>
    </row>
    <row r="3" spans="1:10" x14ac:dyDescent="0.25">
      <c r="A3" s="44"/>
      <c r="B3" s="44"/>
      <c r="C3" s="44"/>
      <c r="D3" s="44"/>
      <c r="E3" s="44"/>
      <c r="F3" s="44"/>
      <c r="G3" s="44"/>
      <c r="H3" s="44"/>
      <c r="I3" s="44"/>
    </row>
    <row r="4" spans="1:10" x14ac:dyDescent="0.25">
      <c r="A4" s="44"/>
      <c r="B4" s="44"/>
      <c r="C4" s="44"/>
      <c r="D4" s="44"/>
      <c r="E4" s="44"/>
      <c r="F4" s="44"/>
      <c r="G4" s="44"/>
      <c r="H4" s="44"/>
      <c r="I4" s="44"/>
    </row>
    <row r="5" spans="1:10" x14ac:dyDescent="0.25">
      <c r="A5" s="44"/>
      <c r="B5" s="44"/>
      <c r="C5" s="44"/>
      <c r="D5" s="44"/>
      <c r="E5" s="44"/>
      <c r="F5" s="44"/>
      <c r="G5" s="44"/>
      <c r="H5" s="44"/>
      <c r="I5" s="44"/>
    </row>
    <row r="6" spans="1:10" x14ac:dyDescent="0.25">
      <c r="A6" s="44"/>
      <c r="B6" s="44"/>
      <c r="C6" s="44"/>
      <c r="D6" s="44"/>
      <c r="E6" s="44"/>
      <c r="F6" s="44"/>
      <c r="G6" s="44"/>
      <c r="H6" s="44"/>
      <c r="I6" s="44"/>
    </row>
    <row r="7" spans="1:10" x14ac:dyDescent="0.25">
      <c r="A7" s="44"/>
      <c r="B7" s="44"/>
      <c r="C7" s="44"/>
      <c r="D7" s="44"/>
      <c r="E7" s="44"/>
      <c r="F7" s="44"/>
      <c r="G7" s="44"/>
      <c r="H7" s="44"/>
      <c r="I7" s="44"/>
    </row>
    <row r="8" spans="1:10" x14ac:dyDescent="0.25">
      <c r="A8" s="44"/>
      <c r="B8" s="44"/>
      <c r="C8" s="44"/>
      <c r="D8" s="44"/>
      <c r="E8" s="44"/>
      <c r="F8" s="44"/>
      <c r="G8" s="44"/>
      <c r="H8" s="44"/>
      <c r="I8" s="44"/>
    </row>
    <row r="9" spans="1:10" x14ac:dyDescent="0.25">
      <c r="A9" s="44"/>
      <c r="B9" s="44"/>
      <c r="C9" s="44"/>
      <c r="D9" s="44"/>
      <c r="E9" s="44"/>
      <c r="F9" s="44"/>
      <c r="G9" s="44"/>
      <c r="H9" s="44"/>
      <c r="I9" s="44"/>
    </row>
    <row r="10" spans="1:10" x14ac:dyDescent="0.25">
      <c r="A10" s="44"/>
      <c r="B10" s="44"/>
      <c r="C10" s="44"/>
      <c r="D10" s="44"/>
      <c r="E10" s="44"/>
      <c r="F10" s="44"/>
      <c r="G10" s="44"/>
      <c r="H10" s="44"/>
      <c r="I10" s="44"/>
    </row>
    <row r="11" spans="1:10" x14ac:dyDescent="0.25">
      <c r="G11" s="82" t="s">
        <v>232</v>
      </c>
      <c r="H11" s="82">
        <f>SUM(H2:H10)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CB2F1-F9B2-4B45-B463-1B857E27191F}">
  <dimension ref="A1:H10"/>
  <sheetViews>
    <sheetView workbookViewId="0">
      <selection activeCell="F1" sqref="F1"/>
    </sheetView>
  </sheetViews>
  <sheetFormatPr defaultRowHeight="15" x14ac:dyDescent="0.25"/>
  <cols>
    <col min="2" max="2" width="9.7109375" bestFit="1" customWidth="1"/>
    <col min="3" max="3" width="11.28515625" customWidth="1"/>
    <col min="6" max="6" width="26.85546875" bestFit="1" customWidth="1"/>
    <col min="7" max="7" width="10.42578125" customWidth="1"/>
  </cols>
  <sheetData>
    <row r="1" spans="1:8" x14ac:dyDescent="0.25">
      <c r="A1" s="78" t="s">
        <v>196</v>
      </c>
      <c r="B1" s="78" t="s">
        <v>207</v>
      </c>
      <c r="C1" s="78" t="s">
        <v>208</v>
      </c>
      <c r="D1" s="78" t="s">
        <v>198</v>
      </c>
      <c r="E1" s="78" t="s">
        <v>199</v>
      </c>
      <c r="F1" s="78" t="s">
        <v>226</v>
      </c>
      <c r="G1" s="78" t="s">
        <v>231</v>
      </c>
      <c r="H1" s="78" t="s">
        <v>200</v>
      </c>
    </row>
    <row r="2" spans="1:8" x14ac:dyDescent="0.25">
      <c r="A2" s="44">
        <v>1</v>
      </c>
      <c r="B2" s="44"/>
      <c r="C2" s="44"/>
      <c r="D2" s="44"/>
      <c r="E2" s="44"/>
      <c r="F2" s="44"/>
      <c r="G2" s="44"/>
      <c r="H2" s="44"/>
    </row>
    <row r="3" spans="1:8" x14ac:dyDescent="0.25">
      <c r="A3" s="44">
        <v>2</v>
      </c>
      <c r="B3" s="44"/>
      <c r="C3" s="44"/>
      <c r="D3" s="44"/>
      <c r="E3" s="44"/>
      <c r="F3" s="44"/>
      <c r="G3" s="44"/>
      <c r="H3" s="44"/>
    </row>
    <row r="4" spans="1:8" x14ac:dyDescent="0.25">
      <c r="A4" s="44">
        <v>3</v>
      </c>
      <c r="B4" s="44"/>
      <c r="C4" s="44"/>
      <c r="D4" s="44"/>
      <c r="E4" s="44"/>
      <c r="F4" s="44"/>
      <c r="G4" s="44"/>
      <c r="H4" s="44"/>
    </row>
    <row r="5" spans="1:8" x14ac:dyDescent="0.25">
      <c r="A5" s="44"/>
      <c r="B5" s="44"/>
      <c r="C5" s="44"/>
      <c r="D5" s="44"/>
      <c r="E5" s="44"/>
      <c r="F5" s="44"/>
      <c r="G5" s="44"/>
      <c r="H5" s="44"/>
    </row>
    <row r="6" spans="1:8" x14ac:dyDescent="0.25">
      <c r="A6" s="44"/>
      <c r="B6" s="44"/>
      <c r="C6" s="44"/>
      <c r="D6" s="44"/>
      <c r="E6" s="44"/>
      <c r="F6" s="44"/>
      <c r="G6" s="44"/>
      <c r="H6" s="44"/>
    </row>
    <row r="7" spans="1:8" x14ac:dyDescent="0.25">
      <c r="A7" s="44"/>
      <c r="B7" s="44"/>
      <c r="C7" s="44"/>
      <c r="D7" s="44"/>
      <c r="E7" s="44"/>
      <c r="F7" s="44"/>
      <c r="G7" s="44"/>
      <c r="H7" s="44"/>
    </row>
    <row r="8" spans="1:8" x14ac:dyDescent="0.25">
      <c r="A8" s="44"/>
      <c r="B8" s="44"/>
      <c r="C8" s="44"/>
      <c r="D8" s="44"/>
      <c r="E8" s="44"/>
      <c r="F8" s="44"/>
      <c r="G8" s="44"/>
      <c r="H8" s="44"/>
    </row>
    <row r="9" spans="1:8" x14ac:dyDescent="0.25">
      <c r="A9" s="44"/>
      <c r="B9" s="44"/>
      <c r="C9" s="44"/>
      <c r="D9" s="44"/>
      <c r="E9" s="44"/>
      <c r="F9" s="44"/>
      <c r="G9" s="44"/>
      <c r="H9" s="44"/>
    </row>
    <row r="10" spans="1:8" x14ac:dyDescent="0.25">
      <c r="A10" s="44"/>
      <c r="B10" s="44"/>
      <c r="C10" s="44"/>
      <c r="D10" s="44"/>
      <c r="E10" s="44"/>
      <c r="F10" s="44"/>
      <c r="G10" s="44"/>
      <c r="H10" s="4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69B58AA5DE4194E8D5CD02A747607F2" ma:contentTypeVersion="4" ma:contentTypeDescription="Create a new document." ma:contentTypeScope="" ma:versionID="c83515fcdfc11a54a4e8ed841359b9b7">
  <xsd:schema xmlns:xsd="http://www.w3.org/2001/XMLSchema" xmlns:xs="http://www.w3.org/2001/XMLSchema" xmlns:p="http://schemas.microsoft.com/office/2006/metadata/properties" xmlns:ns2="9104cd09-8444-420a-91fb-020495f66166" targetNamespace="http://schemas.microsoft.com/office/2006/metadata/properties" ma:root="true" ma:fieldsID="9501056f43cd950c0919cb9daba81ef4" ns2:_="">
    <xsd:import namespace="9104cd09-8444-420a-91fb-020495f6616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04cd09-8444-420a-91fb-020495f661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6E1C682-77D1-4E64-BDAA-B1626AA5D06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FDE0452-2B7B-448D-A5C8-396C182CEF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04cd09-8444-420a-91fb-020495f6616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6F37491-CDA0-4EBA-9D37-A58C779F609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Overview</vt:lpstr>
      <vt:lpstr>Questionnaire</vt:lpstr>
      <vt:lpstr>LOV</vt:lpstr>
      <vt:lpstr>Variables</vt:lpstr>
      <vt:lpstr>Integration Estimate</vt:lpstr>
      <vt:lpstr>Assumptions and Architecture</vt:lpstr>
      <vt:lpstr>Tech Uplift</vt:lpstr>
      <vt:lpstr>Contention Management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O'Hare</dc:creator>
  <cp:lastModifiedBy>Saumya Pillai</cp:lastModifiedBy>
  <dcterms:created xsi:type="dcterms:W3CDTF">2015-06-05T18:17:20Z</dcterms:created>
  <dcterms:modified xsi:type="dcterms:W3CDTF">2024-12-20T10:59:54Z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bbd37d9-d9ac-4b79-83be-bb7da6ab464c_Enabled">
    <vt:lpwstr>true</vt:lpwstr>
  </property>
  <property fmtid="{D5CDD505-2E9C-101B-9397-08002B2CF9AE}" pid="3" name="MSIP_Label_7bbd37d9-d9ac-4b79-83be-bb7da6ab464c_SetDate">
    <vt:lpwstr>2020-07-22T12:24:50Z</vt:lpwstr>
  </property>
  <property fmtid="{D5CDD505-2E9C-101B-9397-08002B2CF9AE}" pid="4" name="MSIP_Label_7bbd37d9-d9ac-4b79-83be-bb7da6ab464c_Method">
    <vt:lpwstr>Privileged</vt:lpwstr>
  </property>
  <property fmtid="{D5CDD505-2E9C-101B-9397-08002B2CF9AE}" pid="5" name="MSIP_Label_7bbd37d9-d9ac-4b79-83be-bb7da6ab464c_Name">
    <vt:lpwstr>OFFICIAL</vt:lpwstr>
  </property>
  <property fmtid="{D5CDD505-2E9C-101B-9397-08002B2CF9AE}" pid="6" name="MSIP_Label_7bbd37d9-d9ac-4b79-83be-bb7da6ab464c_SiteId">
    <vt:lpwstr>4c6898a9-8fca-42f9-aa92-82cb3e252bc6</vt:lpwstr>
  </property>
  <property fmtid="{D5CDD505-2E9C-101B-9397-08002B2CF9AE}" pid="7" name="MSIP_Label_7bbd37d9-d9ac-4b79-83be-bb7da6ab464c_ActionId">
    <vt:lpwstr>d9605610-4e5b-4591-8023-00008b81fce9</vt:lpwstr>
  </property>
  <property fmtid="{D5CDD505-2E9C-101B-9397-08002B2CF9AE}" pid="8" name="MSIP_Label_7bbd37d9-d9ac-4b79-83be-bb7da6ab464c_ContentBits">
    <vt:lpwstr>3</vt:lpwstr>
  </property>
  <property fmtid="{D5CDD505-2E9C-101B-9397-08002B2CF9AE}" pid="9" name="ContentTypeId">
    <vt:lpwstr>0x010100369B58AA5DE4194E8D5CD02A747607F2</vt:lpwstr>
  </property>
</Properties>
</file>